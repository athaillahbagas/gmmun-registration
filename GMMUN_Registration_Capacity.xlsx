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e7e692877a42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bandingan" sheetId="1" r:id="Raf5dc728d8d94d9e"/>
    <x:sheet xmlns:r="http://schemas.openxmlformats.org/officeDocument/2006/relationships" name="Input" sheetId="2" r:id="R0f611271a35442c8"/>
    <x:sheet xmlns:r="http://schemas.openxmlformats.org/officeDocument/2006/relationships" name="Gelombang" sheetId="3" r:id="R6ef658f1e5f749d2"/>
    <x:sheet xmlns:r="http://schemas.openxmlformats.org/officeDocument/2006/relationships" name="Beban" sheetId="4" r:id="R1b1c89494a6b4b47"/>
    <x:sheet xmlns:r="http://schemas.openxmlformats.org/officeDocument/2006/relationships" name="Keputusan" sheetId="5" r:id="Rc8ffffbf076c4049"/>
    <x:sheet xmlns:r="http://schemas.openxmlformats.org/officeDocument/2006/relationships" name="Log Uji" sheetId="6" r:id="R2bb961eb6985446f"/>
    <x:sheet xmlns:r="http://schemas.openxmlformats.org/officeDocument/2006/relationships" name="Audit" sheetId="7" r:id="R8ce9a98b105847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hh:mm"/>
    <x:numFmt numFmtId="202" formatCode="0.0"/>
    <x:numFmt numFmtId="203" formatCode="0.00"/>
  </x:numFmts>
  <x:fonts count="5">
    <x:font>
      <x:sz val="11"/>
      <x:name val="Carlito"/>
    </x:font>
    <x:font>
      <x:sz val="11"/>
      <x:color rgb="FF172B4D"/>
      <x:name val="Arial"/>
    </x:font>
    <x:font>
      <x:b/>
      <x:sz val="16"/>
      <x:color rgb="FF172B4D"/>
      <x:name val="Arial"/>
    </x:font>
    <x:font>
      <x:sz val="11"/>
      <x:color rgb="FF627185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476A"/>
      </x:patternFill>
    </x:fill>
    <x:fill>
      <x:patternFill patternType="solid">
        <x:fgColor rgb="FFFFF0C2"/>
      </x:patternFill>
    </x:fill>
    <x:fill>
      <x:patternFill patternType="solid">
        <x:fgColor rgb="FFEAF0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0">
    <x:dxf>
      <x:font>
        <x:b/>
        <x:color rgb="FF9C2D20"/>
      </x:font>
      <x:fill>
        <x:patternFill patternType="solid">
          <x:bgColor rgb="FFFCE4DF"/>
        </x:patternFill>
      </x:fill>
    </x:dxf>
    <x:dxf>
      <x:font>
        <x:color rgb="FF9C2D20"/>
      </x:font>
      <x:fill>
        <x:patternFill patternType="solid">
          <x:bgColor rgb="FFFCE4DF"/>
        </x:patternFill>
      </x:fill>
    </x:dxf>
    <x:dxf>
      <x:font>
        <x:b/>
        <x:color rgb="FF9C2D20"/>
      </x:font>
      <x:fill>
        <x:patternFill patternType="solid">
          <x:bgColor rgb="FFFCE4DF"/>
        </x:patternFill>
      </x:fill>
    </x:dxf>
    <x:dxf>
      <x:font>
        <x:color rgb="FF9C2D20"/>
      </x:font>
      <x:fill>
        <x:patternFill patternType="solid">
          <x:bgColor rgb="FFFCE4DF"/>
        </x:patternFill>
      </x:fill>
    </x:dxf>
    <x:dxf>
      <x:font>
        <x:b/>
        <x:color rgb="FF9C2D20"/>
      </x:font>
      <x:fill>
        <x:patternFill patternType="solid">
          <x:bgColor rgb="FFFCE4DF"/>
        </x:patternFill>
      </x:fill>
    </x:dxf>
    <x:dxf>
      <x:font>
        <x:color rgb="FF9C2D20"/>
      </x:font>
      <x:fill>
        <x:patternFill patternType="solid">
          <x:bgColor rgb="FFFCE4DF"/>
        </x:patternFill>
      </x:fill>
    </x:dxf>
    <x:dxf>
      <x:font>
        <x:b/>
        <x:color rgb="FF9C2D20"/>
      </x:font>
      <x:fill>
        <x:patternFill patternType="solid">
          <x:bgColor rgb="FFFCE4DF"/>
        </x:patternFill>
      </x:fill>
    </x:dxf>
    <x:dxf>
      <x:font>
        <x:color rgb="FF9C2D20"/>
      </x:font>
      <x:fill>
        <x:patternFill patternType="solid">
          <x:bgColor rgb="FFFCE4DF"/>
        </x:patternFill>
      </x:fill>
    </x:dxf>
    <x:dxf>
      <x:font>
        <x:b/>
        <x:color rgb="FF9C2D20"/>
      </x:font>
      <x:fill>
        <x:patternFill patternType="solid">
          <x:bgColor rgb="FFFCE4DF"/>
        </x:patternFill>
      </x:fill>
    </x:dxf>
    <x:dxf>
      <x:font>
        <x:color rgb="FF9C2D20"/>
      </x:font>
      <x:fill>
        <x:patternFill patternType="solid">
          <x:bgColor rgb="FFFCE4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53af69d4734219" /><Relationship Type="http://schemas.openxmlformats.org/officeDocument/2006/relationships/theme" Target="/xl/theme/theme1.xml" Id="R29537979c1a443dd" /><Relationship Type="http://schemas.openxmlformats.org/officeDocument/2006/relationships/sharedStrings" Target="/xl/sharedStrings.xml" Id="Rb99b782bceaa4976" /><Relationship Type="http://schemas.openxmlformats.org/officeDocument/2006/relationships/worksheet" Target="/xl/worksheets/sheet1.xml" Id="Raf5dc728d8d94d9e" /><Relationship Type="http://schemas.openxmlformats.org/officeDocument/2006/relationships/worksheet" Target="/xl/worksheets/sheet2.xml" Id="R0f611271a35442c8" /><Relationship Type="http://schemas.openxmlformats.org/officeDocument/2006/relationships/worksheet" Target="/xl/worksheets/sheet3.xml" Id="R6ef658f1e5f749d2" /><Relationship Type="http://schemas.openxmlformats.org/officeDocument/2006/relationships/worksheet" Target="/xl/worksheets/sheet4.xml" Id="R1b1c89494a6b4b47" /><Relationship Type="http://schemas.openxmlformats.org/officeDocument/2006/relationships/worksheet" Target="/xl/worksheets/sheet5.xml" Id="Rc8ffffbf076c4049" /><Relationship Type="http://schemas.openxmlformats.org/officeDocument/2006/relationships/worksheet" Target="/xl/worksheets/sheet6.xml" Id="R2bb961eb6985446f" /><Relationship Type="http://schemas.openxmlformats.org/officeDocument/2006/relationships/worksheet" Target="/xl/worksheets/sheet7.xml" Id="R8ce9a98b105847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c451e87d74448b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Sisa pekerjaan pada batas interval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Sisa total 5+1</c:v>
          </c:tx>
          <c:spPr>
            <a:ln xmlns:a="http://schemas.openxmlformats.org/drawingml/2006/main" w="19050">
              <a:solidFill>
                <a:srgbClr val="24476A"/>
              </a:solidFill>
              <a:prstDash val="solid"/>
            </a:ln>
          </c:spPr>
          <c:marker>
            <c:symbol val="none"/>
          </c:marker>
          <c:cat>
            <c:strRef>
              <c:f>'Beban'!$A$8:$A$35</c:f>
              <c:strCache>
                <c:ptCount val="0"/>
              </c:strCache>
            </c:strRef>
          </c:cat>
          <c:val>
            <c:numRef>
              <c:f>'Beban'!$J$8:$J$35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Sisa pooled</c:v>
          </c:tx>
          <c:spPr>
            <a:ln xmlns:a="http://schemas.openxmlformats.org/drawingml/2006/main" w="19050">
              <a:solidFill>
                <a:srgbClr val="718AA4"/>
              </a:solidFill>
              <a:prstDash val="solid"/>
            </a:ln>
          </c:spPr>
          <c:marker>
            <c:symbol val="none"/>
          </c:marker>
          <c:cat>
            <c:strRef>
              <c:f>'Beban'!$A$8:$A$35</c:f>
              <c:strCache>
                <c:ptCount val="0"/>
              </c:strCache>
            </c:strRef>
          </c:cat>
          <c:val>
            <c:numRef>
              <c:f>'Beban'!$K$8:$K$35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Sisa total adaptif</c:v>
          </c:tx>
          <c:spPr>
            <a:ln xmlns:a="http://schemas.openxmlformats.org/drawingml/2006/main" w="19050">
              <a:solidFill>
                <a:srgbClr val="C0762B"/>
              </a:solidFill>
              <a:prstDash val="solid"/>
            </a:ln>
          </c:spPr>
          <c:marker>
            <c:symbol val="none"/>
          </c:marker>
          <c:cat>
            <c:strRef>
              <c:f>'Beban'!$A$8:$A$35</c:f>
              <c:strCache>
                <c:ptCount val="0"/>
              </c:strCache>
            </c:strRef>
          </c:cat>
          <c:val>
            <c:numRef>
              <c:f>'Beban'!$Q$8:$Q$35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43</xdr:row>
      <xdr:rowOff>0</xdr:rowOff>
    </xdr:from>
    <xdr:to>
      <xdr:col>10</xdr:col>
      <xdr:colOff>0</xdr:colOff>
      <xdr:row>61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451e87d74448b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1b9202824dff48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3" t="str">
        <x:v>GMMUN Registration Validation Pack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4" t="str">
        <x:v>Status: kandidat untuk diuji. Konfigurasi 4 universal + 1 fleksibel + 1 exception belum disahkan.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4" t="str">
        <x:v>Hasil di bawah adalah hitungan dari asumsi uji; tidak menyatakan layanan siap diterapkan.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6" customHeight="1">
      <x:c r="A6" s="8" t="str">
        <x:v>Ukuran</x:v>
      </x:c>
      <x:c r="B6" s="8" t="str">
        <x:v>Nilai</x:v>
      </x:c>
      <x:c r="C6" s="8" t="str">
        <x:v>Satuan</x:v>
      </x:c>
      <x:c r="D6" s="2"/>
      <x:c r="E6" s="2"/>
      <x:c r="F6" s="2"/>
      <x:c r="G6" s="2"/>
      <x:c r="H6" s="2"/>
      <x:c r="I6" s="2"/>
      <x:c r="J6" s="2"/>
      <x:c r="K6" s="2"/>
      <x:c r="L6" s="2"/>
    </x:row>
    <x:row r="7" ht="24" customHeight="1">
      <x:c r="A7" s="2" t="str">
        <x:v>Rata-rata kebutuhan</x:v>
      </x:c>
      <x:c r="B7" s="14" t="n">
        <x:f>'Input'!B7/'Input'!B8</x:f>
        <x:v>102.85714285714286</x:v>
      </x:c>
      <x:c r="C7" s="2" t="str">
        <x:v>record/jam</x:v>
      </x:c>
      <x:c r="D7" s="2"/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2" t="str">
        <x:v>Kerja rata-rata termasuk exception</x:v>
      </x:c>
      <x:c r="B8" s="14" t="n">
        <x:f>IF('Input'!B41="Valid untuk hitung",'Input'!B10+'Input'!B11*'Input'!B12,"n.a.")</x:f>
        <x:v>90</x:v>
      </x:c>
      <x:c r="C8" s="2" t="str">
        <x:v>detik/record</x:v>
      </x:c>
      <x:c r="D8" s="2"/>
      <x:c r="E8" s="2"/>
      <x:c r="F8" s="2"/>
      <x:c r="G8" s="2"/>
      <x:c r="H8" s="2"/>
      <x:c r="I8" s="2"/>
      <x:c r="J8" s="2"/>
      <x:c r="K8" s="2"/>
      <x:c r="L8" s="2"/>
    </x:row>
    <x:row r="9" ht="24" customHeight="1">
      <x:c r="A9" s="2" t="str">
        <x:v>Volume profil kedatangan</x:v>
      </x:c>
      <x:c r="B9" s="14" t="n">
        <x:f>'Gelombang'!B37</x:f>
        <x:v>719.9999999999997</x:v>
      </x:c>
      <x:c r="C9" s="2" t="str">
        <x:v>record</x:v>
      </x:c>
      <x:c r="D9" s="2"/>
      <x:c r="E9" s="2"/>
      <x:c r="F9" s="2"/>
      <x:c r="G9" s="2"/>
      <x:c r="H9" s="2"/>
      <x:c r="I9" s="2"/>
      <x:c r="J9" s="2"/>
      <x:c r="K9" s="2"/>
      <x:c r="L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46" customHeight="1">
      <x:c r="A12" s="8" t="str">
        <x:v>Alternatif</x:v>
      </x:c>
      <x:c r="B12" s="8" t="str">
        <x:v>Operator U</x:v>
      </x:c>
      <x:c r="C12" s="8" t="str">
        <x:v>Operator E</x:v>
      </x:c>
      <x:c r="D12" s="8" t="str">
        <x:v>Batas standar record/jam</x:v>
      </x:c>
      <x:c r="E12" s="8" t="str">
        <x:v>Batas E setara record/jam</x:v>
      </x:c>
      <x:c r="F12" s="8" t="str">
        <x:v>Batas kerja record/jam</x:v>
      </x:c>
      <x:c r="G12" s="8" t="str">
        <x:v>N / kapasitas jam</x:v>
      </x:c>
      <x:c r="H12" s="8" t="str">
        <x:v>Keterangan</x:v>
      </x:c>
      <x:c r="I12" s="2"/>
      <x:c r="J12" s="2"/>
      <x:c r="K12" s="2"/>
      <x:c r="L12" s="2"/>
    </x:row>
    <x:row r="13" ht="62" customHeight="1">
      <x:c r="A13" s="9" t="str">
        <x:v>U + 1 exception tetap</x:v>
      </x:c>
      <x:c r="B13" s="9" t="n">
        <x:f>MAX('Input'!B14-1,0)</x:f>
        <x:v>5</x:v>
      </x:c>
      <x:c r="C13" s="9" t="n">
        <x:f>MIN('Input'!B14,1)</x:f>
        <x:v>1</x:v>
      </x:c>
      <x:c r="D13" s="16" t="n">
        <x:f>IF('Input'!B41="Valid untuk hitung",B13*3600*'Input'!B13/'Input'!B10,"n.a.")</x:f>
        <x:v>240</x:v>
      </x:c>
      <x:c r="E13" s="16" t="n">
        <x:f>IF('Input'!B41="Valid untuk hitung",IF(OR('Input'!B11=0,'Input'!B12=0),"tidak membatasi",C13*3600*'Input'!B13/('Input'!B11*'Input'!B12)),"n.a.")</x:f>
        <x:v>240</x:v>
      </x:c>
      <x:c r="F13" s="16" t="n">
        <x:f>IF('Input'!B41="Valid untuk hitung",IF(ISNUMBER(E13),MIN(D13,E13),D13),"n.a.")</x:f>
        <x:v>240</x:v>
      </x:c>
      <x:c r="G13" s="17" t="n">
        <x:f>IF(ISNUMBER(F13),IF(F13&gt;0,'Input'!B7/F13,"n.a."),"n.a.")</x:f>
        <x:v>3</x:v>
      </x:c>
      <x:c r="H13" s="9" t="str">
        <x:v>Enam aktif memberi 5+1. Satu E tetap.</x:v>
      </x:c>
      <x:c r="I13" s="2"/>
      <x:c r="J13" s="2"/>
      <x:c r="K13" s="2"/>
      <x:c r="L13" s="2"/>
    </x:row>
    <x:row r="14" ht="62" customHeight="1">
      <x:c r="A14" s="9" t="str">
        <x:v>U + 2 exception tetap</x:v>
      </x:c>
      <x:c r="B14" s="9" t="n">
        <x:f>MAX('Input'!B14-2,0)</x:f>
        <x:v>4</x:v>
      </x:c>
      <x:c r="C14" s="9" t="n">
        <x:f>MIN('Input'!B14,2)</x:f>
        <x:v>2</x:v>
      </x:c>
      <x:c r="D14" s="16" t="n">
        <x:f>IF('Input'!B41="Valid untuk hitung",B14*3600*'Input'!B13/'Input'!B10,"n.a.")</x:f>
        <x:v>192</x:v>
      </x:c>
      <x:c r="E14" s="16" t="n">
        <x:f>IF('Input'!B41="Valid untuk hitung",IF(OR('Input'!B11=0,'Input'!B12=0),"tidak membatasi",C14*3600*'Input'!B13/('Input'!B11*'Input'!B12)),"n.a.")</x:f>
        <x:v>480</x:v>
      </x:c>
      <x:c r="F14" s="16" t="n">
        <x:f>IF('Input'!B41="Valid untuk hitung",IF(ISNUMBER(E14),MIN(D14,E14),D14),"n.a.")</x:f>
        <x:v>192</x:v>
      </x:c>
      <x:c r="G14" s="17" t="n">
        <x:f>IF(ISNUMBER(F14),IF(F14&gt;0,'Input'!B7/F14,"n.a."),"n.a.")</x:f>
        <x:v>3.75</x:v>
      </x:c>
      <x:c r="H14" s="9" t="str">
        <x:v>Enam aktif memberi 4+2. Standar bisa terhambat.</x:v>
      </x:c>
      <x:c r="I14" s="2"/>
      <x:c r="J14" s="2"/>
      <x:c r="K14" s="2"/>
      <x:c r="L14" s="2"/>
    </x:row>
    <x:row r="15" ht="62" customHeight="1">
      <x:c r="A15" s="9" t="str">
        <x:v>Semua operator universal</x:v>
      </x:c>
      <x:c r="B15" s="9" t="n">
        <x:f>'Input'!B14</x:f>
        <x:v>6</x:v>
      </x:c>
      <x:c r="C15" s="9" t="str">
        <x:v>bersama</x:v>
      </x:c>
      <x:c r="D15" s="16" t="str">
        <x:v>gabungan</x:v>
      </x:c>
      <x:c r="E15" s="16" t="str">
        <x:v>gabungan</x:v>
      </x:c>
      <x:c r="F15" s="16" t="n">
        <x:f>IF('Input'!B41="Valid untuk hitung",'Input'!B14*3600*'Input'!B13/B8,"n.a.")</x:f>
        <x:v>240</x:v>
      </x:c>
      <x:c r="G15" s="17" t="n">
        <x:f>IF(ISNUMBER(F15),IF(F15&gt;0,'Input'!B7/F15,"n.a."),"n.a.")</x:f>
        <x:v>3</x:v>
      </x:c>
      <x:c r="H15" s="9" t="str">
        <x:v>Semua operator perlu kewenangan exception.</x:v>
      </x:c>
      <x:c r="I15" s="2"/>
      <x:c r="J15" s="2"/>
      <x:c r="K15" s="2"/>
      <x:c r="L15" s="2"/>
    </x:row>
    <x:row r="16" ht="62" customHeight="1">
      <x:c r="A16" s="9" t="str">
        <x:v>4+1+1 adaptif</x:v>
      </x:c>
      <x:c r="B16" s="9" t="str">
        <x:v>per interval</x:v>
      </x:c>
      <x:c r="C16" s="9" t="str">
        <x:v>per interval</x:v>
      </x:c>
      <x:c r="D16" s="9" t="str">
        <x:v>lihat Beban</x:v>
      </x:c>
      <x:c r="E16" s="9" t="str">
        <x:v>lihat Beban</x:v>
      </x:c>
      <x:c r="F16" s="9" t="str">
        <x:v>tidak tunggal</x:v>
      </x:c>
      <x:c r="G16" s="9" t="str">
        <x:v>n.a.</x:v>
      </x:c>
      <x:c r="H16" s="9" t="str">
        <x:v>Bergantung alokasi dan waktu perpindahan.</x:v>
      </x:c>
      <x:c r="I16" s="2"/>
      <x:c r="J16" s="2"/>
      <x:c r="K16" s="2"/>
      <x:c r="L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4" customHeight="1">
      <x:c r="A18" s="4" t="str">
        <x:v>N / kapasitas hanya batas bawah beban kerja kontinu; bukan durasi event atau janji selesai registrasi.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46" customHeight="1">
      <x:c r="A21" s="8" t="str">
        <x:v>Ukuran model 15 menit</x:v>
      </x:c>
      <x:c r="B21" s="8" t="str">
        <x:v>U + 1 tetap</x:v>
      </x:c>
      <x:c r="C21" s="8" t="str">
        <x:v>Semua universal</x:v>
      </x:c>
      <x:c r="D21" s="8" t="str">
        <x:v>Adaptif</x:v>
      </x:c>
      <x:c r="E21" s="2"/>
      <x:c r="F21" s="2"/>
      <x:c r="G21" s="2"/>
      <x:c r="H21" s="2"/>
      <x:c r="I21" s="2"/>
      <x:c r="J21" s="2"/>
      <x:c r="K21" s="2"/>
      <x:c r="L21" s="2"/>
    </x:row>
    <x:row r="22" ht="24" customHeight="1">
      <x:c r="A22" s="2" t="str">
        <x:v>Sisa terbesar di batas interval</x:v>
      </x:c>
      <x:c r="B22" s="14" t="n">
        <x:f>IF(COUNT('Beban'!J8:J35)=28,MAX('Beban'!J8:J35),"n.a.")</x:f>
        <x:v>0</x:v>
      </x:c>
      <x:c r="C22" s="14" t="n">
        <x:f>IF(COUNT('Beban'!K8:K35)=28,MAX('Beban'!K8:K35),"n.a.")</x:f>
        <x:v>0</x:v>
      </x:c>
      <x:c r="D22" s="14" t="n">
        <x:f>IF(COUNT('Beban'!Q8:Q35)=28,MAX('Beban'!Q8:Q35),"n.a.")</x:f>
        <x:v>0</x:v>
      </x:c>
      <x:c r="E22" s="2"/>
      <x:c r="F22" s="2"/>
      <x:c r="G22" s="2"/>
      <x:c r="H22" s="2"/>
      <x:c r="I22" s="2"/>
      <x:c r="J22" s="2"/>
      <x:c r="K22" s="2"/>
      <x:c r="L22" s="2"/>
    </x:row>
    <x:row r="23" ht="24" customHeight="1">
      <x:c r="A23" s="2" t="str">
        <x:v>Sisa pada 17.00</x:v>
      </x:c>
      <x:c r="B23" s="14" t="n">
        <x:f>'Beban'!J35</x:f>
        <x:v>0</x:v>
      </x:c>
      <x:c r="C23" s="14" t="n">
        <x:f>'Beban'!K35</x:f>
        <x:v>0</x:v>
      </x:c>
      <x:c r="D23" s="14" t="n">
        <x:f>'Beban'!Q35</x:f>
        <x:v>0</x:v>
      </x:c>
      <x:c r="E23" s="2"/>
      <x:c r="F23" s="2"/>
      <x:c r="G23" s="2"/>
      <x:c r="H23" s="2"/>
      <x:c r="I23" s="2"/>
      <x:c r="J23" s="2"/>
      <x:c r="K23" s="2"/>
      <x:c r="L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4" customHeight="1">
      <x:c r="A25" s="4" t="str">
        <x:v>Sisa nol dalam model aliran tidak membuktikan antrean nol. Lonjakan di dalam interval dan variasi layanan belum tercakup.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4" customHeight="1">
      <x:c r="A27" s="4" t="str">
        <x:v>Bottleneck di luar meja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4" customHeight="1">
      <x:c r="A28" s="2" t="str">
        <x:v>Screening terukur</x:v>
      </x:c>
      <x:c r="B28" s="2" t="str">
        <x:f>IF('Input'!B23="","belum diukur",'Input'!B23)</x:f>
        <x:v>belum diukur</x:v>
      </x:c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A29" s="2" t="str">
        <x:v>Logistik terukur</x:v>
      </x:c>
      <x:c r="B29" s="2" t="str">
        <x:f>IF('Input'!B24="","belum diukur",'Input'!B24)</x:f>
        <x:v>belum diukur</x:v>
      </x:c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A30" s="2" t="str">
        <x:v>Batas sistem keseluruhan</x:v>
      </x:c>
      <x:c r="B30" s="2" t="str">
        <x:v>belum dapat disahkan</x:v>
      </x:c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4" t="str">
        <x:v>Screening, pasokan kit/kunci, otoritas resolusi, data bersama dan okupansi bisa membatasi sebelum kapasitas meja.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4" customHeight="1">
      <x:c r="A34" s="4" t="str">
        <x:v>Penggunaan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4" customHeight="1">
      <x:c r="A35" s="4" t="str">
        <x:v>1. Input: ganti asumsi waktu, proporsi exception dan operator uji. Definisi exception selalu tambahan terhadap standar.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4" customHeight="1">
      <x:c r="A36" s="4" t="str">
        <x:v>2. Gelombang: ubah kedatangan per 15 menit, operator aktif dan peran adaptif. Isi kehilangan waktu perpindahan.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4" customHeight="1">
      <x:c r="A37" s="4" t="str">
        <x:v>3. Beban: lihat lokasi penumpukan dan sisa akhir. Keputusan: isi bukti, jawaban dan penanggung jawab.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4" customHeight="1">
      <x:c r="A38" s="4" t="str">
        <x:v>4. Log Uji: ukur proses nyata; gunakan hasilnya untuk mengganti asumsi. Audit: lihat hitungan lama yang diperiksa.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4" customHeight="1">
      <x:c r="A40" s="4" t="str">
        <x:v>Wajib dikonfirmasi: hitungan record; roster/peran; okupansi/layout; pendamping; rilis kunci; otoritas; prioritas; target layanan.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</x:sheetData>
  <x:conditionalFormatting sqref="B7:G30">
    <x:cfRule type="containsText" dxfId="6" priority="1" operator="containsText" text="PERIKSA"/>
    <x:cfRule type="containsText" dxfId="7" priority="2" operator="containsText" text="n.a.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20" hidden="0" customWidth="1"/>
    <x:col min="4" max="4" width="12" hidden="0" customWidth="1"/>
    <x:col min="5" max="5" width="78" hidden="0" customWidth="1"/>
    <x:col min="6" max="6" width="24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30" customHeight="1">
      <x:c r="A2" s="3" t="str">
        <x:v>Input dan status bukti</x:v>
      </x:c>
      <x:c r="B2" s="2"/>
      <x:c r="C2" s="2"/>
      <x:c r="D2" s="2"/>
      <x:c r="E2" s="2"/>
      <x:c r="F2" s="2"/>
    </x:row>
    <x:row r="3" ht="24" customHeight="1">
      <x:c r="A3" s="4" t="str">
        <x:v>Kuning = dapat diubah. F = dilaporkan terkonfirmasi; A = asumsi uji; U = perlu konfirmasi; R = rekomendasi.</x:v>
      </x:c>
      <x:c r="B3" s="2"/>
      <x:c r="C3" s="2"/>
      <x:c r="D3" s="2"/>
      <x:c r="E3" s="2"/>
      <x:c r="F3" s="2"/>
    </x:row>
    <x:row r="4" ht="24" customHeight="1">
      <x:c r="A4" s="2"/>
      <x:c r="B4" s="2"/>
      <x:c r="C4" s="2"/>
      <x:c r="D4" s="2"/>
      <x:c r="E4" s="2"/>
      <x:c r="F4" s="2"/>
    </x:row>
    <x:row r="5" ht="46" customHeight="1">
      <x:c r="A5" s="8" t="str">
        <x:v>Parameter</x:v>
      </x:c>
      <x:c r="B5" s="8" t="str">
        <x:v>Nilai</x:v>
      </x:c>
      <x:c r="C5" s="8" t="str">
        <x:v>Satuan</x:v>
      </x:c>
      <x:c r="D5" s="8" t="str">
        <x:v>Kelas</x:v>
      </x:c>
      <x:c r="E5" s="8" t="str">
        <x:v>Dasar dan batas penggunaan</x:v>
      </x:c>
      <x:c r="F5" s="8" t="str">
        <x:v>Konfirmasi atau sumber</x:v>
      </x:c>
    </x:row>
    <x:row r="6" ht="42" customHeight="1">
      <x:c r="A6" s="9" t="str">
        <x:v>Perkiraan peserta</x:v>
      </x:c>
      <x:c r="B6" s="9" t="n">
        <x:v>720</x:v>
      </x:c>
      <x:c r="C6" s="9" t="str">
        <x:v>orang</x:v>
      </x:c>
      <x:c r="D6" s="9" t="str">
        <x:v>F</x:v>
      </x:c>
      <x:c r="E6" s="9" t="str">
        <x:v>Perkiraan penyelenggara; komposisi belum tersedia.</x:v>
      </x:c>
      <x:c r="F6" s="9" t="str">
        <x:v>S1</x:v>
      </x:c>
    </x:row>
    <x:row r="7" ht="42" customHeight="1">
      <x:c r="A7" s="9" t="str">
        <x:v>Transaksi dalam model</x:v>
      </x:c>
      <x:c r="B7" s="10" t="n">
        <x:v>720</x:v>
      </x:c>
      <x:c r="C7" s="9" t="str">
        <x:v>record</x:v>
      </x:c>
      <x:c r="D7" s="9" t="str">
        <x:v>A</x:v>
      </x:c>
      <x:c r="E7" s="9" t="str">
        <x:v>Asumsi satu record per peserta; pastikan orang tua terdaftar sudah tercakup.</x:v>
      </x:c>
      <x:c r="F7" s="9" t="str">
        <x:v>D01</x:v>
      </x:c>
    </x:row>
    <x:row r="8" ht="42" customHeight="1">
      <x:c r="A8" s="9" t="str">
        <x:v>Jendela registrasi</x:v>
      </x:c>
      <x:c r="B8" s="9" t="n">
        <x:v>7</x:v>
      </x:c>
      <x:c r="C8" s="9" t="str">
        <x:v>jam</x:v>
      </x:c>
      <x:c r="D8" s="9" t="str">
        <x:v>F</x:v>
      </x:c>
      <x:c r="E8" s="9" t="str">
        <x:v>10.00 sampai 17.00; bukan janji durasi layanan.</x:v>
      </x:c>
      <x:c r="F8" s="9" t="str">
        <x:v>S1</x:v>
      </x:c>
    </x:row>
    <x:row r="9" ht="42" customHeight="1">
      <x:c r="A9" s="9" t="str">
        <x:v>Meja fisik</x:v>
      </x:c>
      <x:c r="B9" s="9" t="n">
        <x:v>6</x:v>
      </x:c>
      <x:c r="C9" s="9" t="str">
        <x:v>meja</x:v>
      </x:c>
      <x:c r="D9" s="9" t="str">
        <x:v>F</x:v>
      </x:c>
      <x:c r="E9" s="9" t="str">
        <x:v>Tidak membuktikan ada enam operator aktif.</x:v>
      </x:c>
      <x:c r="F9" s="9" t="str">
        <x:v>S1; D05</x:v>
      </x:c>
    </x:row>
    <x:row r="10" ht="42" customHeight="1">
      <x:c r="A10" s="9" t="str">
        <x:v>Layanan standar s</x:v>
      </x:c>
      <x:c r="B10" s="10" t="n">
        <x:v>75</x:v>
      </x:c>
      <x:c r="C10" s="9" t="str">
        <x:v>detik/record</x:v>
      </x:c>
      <x:c r="D10" s="9" t="str">
        <x:v>A</x:v>
      </x:c>
      <x:c r="E10" s="9" t="str">
        <x:v>Seluruh record menjalani standar; termasuk serah kit/kunci jika siap.</x:v>
      </x:c>
      <x:c r="F10" s="9" t="str">
        <x:v>S2 terbaru; perlu uji</x:v>
      </x:c>
    </x:row>
    <x:row r="11" ht="42" customHeight="1">
      <x:c r="A11" s="9" t="str">
        <x:v>Proporsi exception p</x:v>
      </x:c>
      <x:c r="B11" s="11" t="n">
        <x:v>0.05</x:v>
      </x:c>
      <x:c r="C11" s="9" t="str">
        <x:v>bagian record</x:v>
      </x:c>
      <x:c r="D11" s="9" t="str">
        <x:v>A</x:v>
      </x:c>
      <x:c r="E11" s="9" t="str">
        <x:v>Porsi record yang perlu tambahan layanan; bukan data aktual.</x:v>
      </x:c>
      <x:c r="F11" s="9" t="str">
        <x:v>S2 terbaru; perlu uji</x:v>
      </x:c>
    </x:row>
    <x:row r="12" ht="42" customHeight="1">
      <x:c r="A12" s="9" t="str">
        <x:v>Tambahan exception e</x:v>
      </x:c>
      <x:c r="B12" s="10" t="n">
        <x:v>300</x:v>
      </x:c>
      <x:c r="C12" s="9" t="str">
        <x:v>detik/kasus</x:v>
      </x:c>
      <x:c r="D12" s="9" t="str">
        <x:v>A</x:v>
      </x:c>
      <x:c r="E12" s="9" t="str">
        <x:v>Tambahan waktu operator terpakai setelah s, termasuk tertahan; bukan total check-in.</x:v>
      </x:c>
      <x:c r="F12" s="9" t="str">
        <x:v>S2 terbaru; perlu uji</x:v>
      </x:c>
    </x:row>
    <x:row r="13" ht="42" customHeight="1">
      <x:c r="A13" s="9" t="str">
        <x:v>Fraksi waktu produktif</x:v>
      </x:c>
      <x:c r="B13" s="11" t="n">
        <x:v>1</x:v>
      </x:c>
      <x:c r="C13" s="9" t="str">
        <x:v>bagian waktu</x:v>
      </x:c>
      <x:c r="D13" s="9" t="str">
        <x:v>A</x:v>
      </x:c>
      <x:c r="E13" s="9" t="str">
        <x:v>Gangguan singkat; jangan hitung kembali jeda yang sudah menurunkan operator aktif.</x:v>
      </x:c>
      <x:c r="F13" s="9" t="str">
        <x:v>Asumsi uji</x:v>
      </x:c>
    </x:row>
    <x:row r="14" ht="42" customHeight="1">
      <x:c r="A14" s="9" t="str">
        <x:v>Operator untuk tabel kapasitas</x:v>
      </x:c>
      <x:c r="B14" s="10" t="n">
        <x:v>6</x:v>
      </x:c>
      <x:c r="C14" s="9" t="str">
        <x:v>operator</x:v>
      </x:c>
      <x:c r="D14" s="9" t="str">
        <x:v>A</x:v>
      </x:c>
      <x:c r="E14" s="9" t="str">
        <x:v>Hanya input uji; kewenangan semua operator belum dikonfirmasi.</x:v>
      </x:c>
      <x:c r="F14" s="9" t="str">
        <x:v>D05; D06</x:v>
      </x:c>
    </x:row>
    <x:row r="15" ht="42" customHeight="1">
      <x:c r="A15" s="9" t="str">
        <x:v>Durasi interval model</x:v>
      </x:c>
      <x:c r="B15" s="9" t="n">
        <x:v>15</x:v>
      </x:c>
      <x:c r="C15" s="9" t="str">
        <x:v>menit</x:v>
      </x:c>
      <x:c r="D15" s="9" t="str">
        <x:v>A</x:v>
      </x:c>
      <x:c r="E15" s="9" t="str">
        <x:v>28 interval tetap mencakup tujuh jam. Jangan ubah durasi interval.</x:v>
      </x:c>
      <x:c r="F15" s="9" t="str">
        <x:v>Resolusi model</x:v>
      </x:c>
    </x:row>
    <x:row r="16" ht="42" customHeight="1">
      <x:c r="A16" s="9" t="str">
        <x:v>Jam mulai</x:v>
      </x:c>
      <x:c r="B16" s="12" t="n">
        <x:v>0.4166666666666667</x:v>
      </x:c>
      <x:c r="C16" s="9" t="str">
        <x:v>waktu</x:v>
      </x:c>
      <x:c r="D16" s="9" t="str">
        <x:v>F</x:v>
      </x:c>
      <x:c r="E16" s="9" t="str">
        <x:v>10.00; waktu setempat mengikuti jadwal event yang dikonfirmasi.</x:v>
      </x:c>
      <x:c r="F16" s="9" t="str">
        <x:v>S1</x:v>
      </x:c>
    </x:row>
    <x:row r="17" ht="42" customHeight="1">
      <x:c r="A17" s="9" t="str">
        <x:v>Kapasitas ruang yang dilaporkan</x:v>
      </x:c>
      <x:c r="B17" s="9" t="n">
        <x:v>120</x:v>
      </x:c>
      <x:c r="C17" s="9" t="str">
        <x:v>orang</x:v>
      </x:c>
      <x:c r="D17" s="9" t="str">
        <x:v>U</x:v>
      </x:c>
      <x:c r="E17" s="9" t="str">
        <x:v>Belum merupakan limit okupansi resmi untuk layout ini.</x:v>
      </x:c>
      <x:c r="F17" s="9" t="str">
        <x:v>S0; S1; D02</x:v>
      </x:c>
    </x:row>
    <x:row r="18" ht="42" customHeight="1">
      <x:c r="A18" s="9" t="str">
        <x:v>Limit okupansi resmi</x:v>
      </x:c>
      <x:c r="B18" s="10"/>
      <x:c r="C18" s="9" t="str">
        <x:v>orang</x:v>
      </x:c>
      <x:c r="D18" s="9" t="str">
        <x:v>U</x:v>
      </x:c>
      <x:c r="E18" s="9" t="str">
        <x:v>Isi hanya setelah hotel memberikan bukti tertulis untuk layout aktual.</x:v>
      </x:c>
      <x:c r="F18" s="9" t="str">
        <x:v>D02</x:v>
      </x:c>
    </x:row>
    <x:row r="19" ht="42" customHeight="1">
      <x:c r="A19" s="9" t="str">
        <x:v>Batas operasional disetujui</x:v>
      </x:c>
      <x:c r="B19" s="10"/>
      <x:c r="C19" s="9" t="str">
        <x:v>orang</x:v>
      </x:c>
      <x:c r="D19" s="9" t="str">
        <x:v>U</x:v>
      </x:c>
      <x:c r="E19" s="9" t="str">
        <x:v>Isi setelah panitia dan hotel menyetujui margin; jangan otomatis 90.</x:v>
      </x:c>
      <x:c r="F19" s="9" t="str">
        <x:v>D02</x:v>
      </x:c>
    </x:row>
    <x:row r="20" ht="42" customHeight="1">
      <x:c r="A20" s="9" t="str">
        <x:v>Operator tersedia terkonfirmasi</x:v>
      </x:c>
      <x:c r="B20" s="10"/>
      <x:c r="C20" s="9" t="str">
        <x:v>orang</x:v>
      </x:c>
      <x:c r="D20" s="9" t="str">
        <x:v>U</x:v>
      </x:c>
      <x:c r="E20" s="9" t="str">
        <x:v>Roster per jam dan peran pendukung wajib dikonfirmasi.</x:v>
      </x:c>
      <x:c r="F20" s="9" t="str">
        <x:v>D05</x:v>
      </x:c>
    </x:row>
    <x:row r="21" ht="42" customHeight="1">
      <x:c r="A21" s="9" t="str">
        <x:v>Izin pendamping</x:v>
      </x:c>
      <x:c r="B21" s="10"/>
      <x:c r="C21" s="9" t="str">
        <x:v>teks</x:v>
      </x:c>
      <x:c r="D21" s="9" t="str">
        <x:v>U</x:v>
      </x:c>
      <x:c r="E21" s="9" t="str">
        <x:v>Belum diputuskan; jangan mengasumsikan satu orang tua boleh masuk.</x:v>
      </x:c>
      <x:c r="F21" s="9" t="str">
        <x:v>D03; D04</x:v>
      </x:c>
    </x:row>
    <x:row r="22" ht="42" customHeight="1">
      <x:c r="A22" s="9" t="str">
        <x:v>Waktu dan otoritas rilis kunci</x:v>
      </x:c>
      <x:c r="B22" s="10"/>
      <x:c r="C22" s="9" t="str">
        <x:v>teks</x:v>
      </x:c>
      <x:c r="D22" s="9" t="str">
        <x:v>U</x:v>
      </x:c>
      <x:c r="E22" s="9" t="str">
        <x:v>Rooming list selesai tidak berarti kunci sudah dapat diserahkan.</x:v>
      </x:c>
      <x:c r="F22" s="9" t="str">
        <x:v>D07</x:v>
      </x:c>
    </x:row>
    <x:row r="23" ht="42" customHeight="1">
      <x:c r="A23" s="9" t="str">
        <x:v>Kapasitas screening terukur</x:v>
      </x:c>
      <x:c r="B23" s="10"/>
      <x:c r="C23" s="9" t="str">
        <x:v>record/jam</x:v>
      </x:c>
      <x:c r="D23" s="9" t="str">
        <x:v>U</x:v>
      </x:c>
      <x:c r="E23" s="9" t="str">
        <x:v>Opsional untuk cek bottleneck; blank berarti belum diukur.</x:v>
      </x:c>
      <x:c r="F23" s="9" t="str">
        <x:v>D11</x:v>
      </x:c>
    </x:row>
    <x:row r="24" ht="42" customHeight="1">
      <x:c r="A24" s="9" t="str">
        <x:v>Kapasitas logistik terukur</x:v>
      </x:c>
      <x:c r="B24" s="10"/>
      <x:c r="C24" s="9" t="str">
        <x:v>record/jam</x:v>
      </x:c>
      <x:c r="D24" s="9" t="str">
        <x:v>U</x:v>
      </x:c>
      <x:c r="E24" s="9" t="str">
        <x:v>Pasokan kit/kunci sebagai ekuivalen record; sesuaikan cakupan.</x:v>
      </x:c>
      <x:c r="F24" s="9" t="str">
        <x:v>D11</x:v>
      </x:c>
    </x:row>
    <x:row r="25" ht="24" customHeight="1">
      <x:c r="A25" s="2"/>
      <x:c r="B25" s="2"/>
      <x:c r="C25" s="2"/>
      <x:c r="D25" s="2"/>
      <x:c r="E25" s="2"/>
      <x:c r="F25" s="2"/>
    </x:row>
    <x:row r="26" ht="24" customHeight="1">
      <x:c r="A26" s="2"/>
      <x:c r="B26" s="2"/>
      <x:c r="C26" s="2"/>
      <x:c r="D26" s="2"/>
      <x:c r="E26" s="2"/>
      <x:c r="F26" s="2"/>
    </x:row>
    <x:row r="27" ht="24" customHeight="1">
      <x:c r="A27" s="4" t="str">
        <x:v>S0  Screenshot permintaan awal: sekitar 720 peserta, enam meja, sembilan council, ruang disebut berkapasitas 120.</x:v>
      </x:c>
      <x:c r="B27" s="2"/>
      <x:c r="C27" s="2"/>
      <x:c r="D27" s="2"/>
      <x:c r="E27" s="2"/>
      <x:c r="F27" s="2"/>
    </x:row>
    <x:row r="28" ht="24" customHeight="1">
      <x:c r="A28" s="4" t="str">
        <x:v>S1  Chat Optimasi Registrasi MUN, update pengguna 12 Oktober 2026, bagian Confirmed operational information.</x:v>
      </x:c>
      <x:c r="B28" s="2"/>
      <x:c r="C28" s="2"/>
      <x:c r="D28" s="2"/>
      <x:c r="E28" s="2"/>
      <x:c r="F28" s="2"/>
    </x:row>
    <x:row r="29" ht="24" customHeight="1">
      <x:c r="A29" s="4" t="str">
        <x:v>S2  Analisis lama dan terbaru di chat yang sama. Keduanya adalah analisis, bukan persetujuan panitia/hotel.</x:v>
      </x:c>
      <x:c r="B29" s="2"/>
      <x:c r="C29" s="2"/>
      <x:c r="D29" s="2"/>
      <x:c r="E29" s="2"/>
      <x:c r="F29" s="2"/>
    </x:row>
    <x:row r="30" ht="24" customHeight="1">
      <x:c r="A30" s="4" t="str">
        <x:v>Sumber S1 lengkap terbaca. Balasan analitis S2 tersedia sampai batas 20.000 karakter; audit hanya klaim yang terbaca/dipakai.</x:v>
      </x:c>
      <x:c r="B30" s="2"/>
      <x:c r="C30" s="2"/>
      <x:c r="D30" s="2"/>
      <x:c r="E30" s="2"/>
      <x:c r="F30" s="2"/>
    </x:row>
    <x:row r="31" ht="24" customHeight="1">
      <x:c r="A31" s="2"/>
      <x:c r="B31" s="2"/>
      <x:c r="C31" s="2"/>
      <x:c r="D31" s="2"/>
      <x:c r="E31" s="2"/>
      <x:c r="F31" s="2"/>
    </x:row>
    <x:row r="32" ht="24" customHeight="1">
      <x:c r="A32" s="4" t="str">
        <x:v>F menurut update pengguna: GMMUN; 9 council; delegate, journalist dan parents; full/non-accommodation; ada junior.</x:v>
      </x:c>
      <x:c r="B32" s="2"/>
      <x:c r="C32" s="2"/>
      <x:c r="D32" s="2"/>
      <x:c r="E32" s="2"/>
      <x:c r="F32" s="2"/>
    </x:row>
    <x:row r="33" ht="24" customHeight="1">
      <x:c r="A33" s="4" t="str">
        <x:v>F menurut update pengguna: kedatangan umumnya individu/keluarga; kamar dialokasikan sebelumnya; staf GMMUN memverifikasi.</x:v>
      </x:c>
      <x:c r="B33" s="2"/>
      <x:c r="C33" s="2"/>
      <x:c r="D33" s="2"/>
      <x:c r="E33" s="2"/>
      <x:c r="F33" s="2"/>
    </x:row>
    <x:row r="34" ht="24" customHeight="1">
      <x:c r="A34" s="4" t="str">
        <x:v>F bukan audit independen atau pengesahan hotel. Rasio akomodasi dan kebutuhan kunci per record belum diketahui.</x:v>
      </x:c>
      <x:c r="B34" s="2"/>
      <x:c r="C34" s="2"/>
      <x:c r="D34" s="2"/>
      <x:c r="E34" s="2"/>
      <x:c r="F34" s="2"/>
    </x:row>
    <x:row r="35" ht="24" customHeight="1">
      <x:c r="A35" s="2"/>
      <x:c r="B35" s="2"/>
      <x:c r="C35" s="2"/>
      <x:c r="D35" s="2"/>
      <x:c r="E35" s="2"/>
      <x:c r="F35" s="2"/>
    </x:row>
    <x:row r="36" ht="24" customHeight="1">
      <x:c r="A36" s="4" t="str">
        <x:v>Cara pakai: ubah asumsi kuning; isi kedatangan dan roster uji di Gelombang; baca Perbandingan dan Beban.</x:v>
      </x:c>
      <x:c r="B36" s="2"/>
      <x:c r="C36" s="2"/>
      <x:c r="D36" s="2"/>
      <x:c r="E36" s="2"/>
      <x:c r="F36" s="2"/>
    </x:row>
    <x:row r="37" ht="24" customHeight="1">
      <x:c r="A37" s="4" t="str">
        <x:v>Tidak ada pilihan skenario global: tiap baris Perbandingan adalah alternatif alokasi yang dihitung dari input bersama.</x:v>
      </x:c>
      <x:c r="B37" s="2"/>
      <x:c r="C37" s="2"/>
      <x:c r="D37" s="2"/>
      <x:c r="E37" s="2"/>
      <x:c r="F37" s="2"/>
    </x:row>
    <x:row r="38" ht="24" customHeight="1">
      <x:c r="A38" s="4" t="str">
        <x:v>Enam universal mengasumsikan semua operator mampu menyelesaikan exception. Tidak ada resolver tambahan tersembunyi.</x:v>
      </x:c>
      <x:c r="B38" s="2"/>
      <x:c r="C38" s="2"/>
      <x:c r="D38" s="2"/>
      <x:c r="E38" s="2"/>
      <x:c r="F38" s="2"/>
    </x:row>
    <x:row r="39" ht="24" customHeight="1">
      <x:c r="A39" s="4" t="str">
        <x:v>Angka keluaran adalah kapasitas kerja ideal. Model tidak memutuskan izin masuk, okupansi aman atau kesiapan implementasi.</x:v>
      </x:c>
      <x:c r="B39" s="2"/>
      <x:c r="C39" s="2"/>
      <x:c r="D39" s="2"/>
      <x:c r="E39" s="2"/>
      <x:c r="F39" s="2"/>
    </x:row>
    <x:row r="40" ht="24" customHeight="1">
      <x:c r="A40" s="2"/>
      <x:c r="B40" s="2"/>
      <x:c r="C40" s="2"/>
      <x:c r="D40" s="2"/>
      <x:c r="E40" s="2"/>
      <x:c r="F40" s="2"/>
    </x:row>
    <x:row r="41" ht="24" customHeight="1">
      <x:c r="A41" s="4" t="str">
        <x:v>Validasi input perhitungan</x:v>
      </x:c>
      <x:c r="B41" s="2" t="str">
        <x:f>IF(AND(ISNUMBER(B7),B7&gt;=0,ISNUMBER(B10),B10&gt;0,ISNUMBER(B11),B11&gt;=0,B11&lt;=1,ISNUMBER(B12),B12&gt;=0,ISNUMBER(B13),B13&gt;=0,B13&lt;=1,ISNUMBER(B14),B14&gt;=0,B14&lt;=B9,MOD(B14,1)=0,B8=7,B9=6,B15=15,B16=10/24),"Valid untuk hitung","PERIKSA input")</x:f>
        <x:v>Valid untuk hitung</x:v>
      </x:c>
      <x:c r="C41" s="2"/>
      <x:c r="D41" s="2"/>
      <x:c r="E41" s="2"/>
      <x:c r="F41" s="2"/>
    </x:row>
    <x:row r="42" ht="24" customHeight="1">
      <x:c r="A42" s="2"/>
      <x:c r="B42" s="2"/>
      <x:c r="C42" s="2"/>
      <x:c r="D42" s="2"/>
      <x:c r="E42" s="2"/>
      <x:c r="F42" s="2"/>
    </x:row>
    <x:row r="43" ht="24" customHeight="1">
      <x:c r="A43" s="2"/>
      <x:c r="B43" s="2"/>
      <x:c r="C43" s="2"/>
      <x:c r="D43" s="2"/>
      <x:c r="E43" s="2"/>
      <x:c r="F43" s="2"/>
    </x:row>
  </x:sheetData>
  <x:conditionalFormatting sqref="B41:B41">
    <x:cfRule type="containsText" dxfId="0" priority="1" operator="containsText" text="PERIKSA"/>
    <x:cfRule type="containsText" dxfId="1" priority="2" operator="containsText" text="n.a."/>
  </x:conditionalFormatting>
  <x:dataValidations count="6">
    <x:dataValidation type="decimal" operator="between" sqref="B7">
      <x:formula1>0</x:formula1>
      <x:formula2>100000</x:formula2>
    </x:dataValidation>
    <x:dataValidation type="decimal" operator="between" sqref="B10">
      <x:formula1>0.001</x:formula1>
      <x:formula2>36000</x:formula2>
    </x:dataValidation>
    <x:dataValidation type="decimal" operator="between" sqref="B11">
      <x:formula1>0</x:formula1>
      <x:formula2>1</x:formula2>
    </x:dataValidation>
    <x:dataValidation type="decimal" operator="between" sqref="B12">
      <x:formula1>0</x:formula1>
      <x:formula2>36000</x:formula2>
    </x:dataValidation>
    <x:dataValidation type="decimal" operator="between" sqref="B13">
      <x:formula1>0</x:formula1>
      <x:formula2>1</x:formula2>
    </x:dataValidation>
    <x:dataValidation type="decimal" operator="between" sqref="B14">
      <x:formula1>0</x:formula1>
      <x:formula2>6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2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Kedatangan dan alokasi untuk diuji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Kedatangan awal merata hanya ilustrasi. Angka operator adalah skenario, bukan ketersediaan staf terkonfirmasi.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4" t="str">
        <x:v>Adaptif: isi U dan E per interval. Operator tidak dapat dihitung pada dua peran sekaligus.</x:v>
      </x:c>
      <x:c r="B4" s="2"/>
      <x:c r="C4" s="2"/>
      <x:c r="D4" s="2"/>
      <x:c r="E4" s="2"/>
      <x:c r="F4" s="2"/>
      <x:c r="G4" s="2"/>
      <x:c r="H4" s="2"/>
    </x:row>
    <x:row r="5" ht="24" customHeight="1">
      <x:c r="A5" s="4" t="str">
        <x:v>Hilang U/E = menit nominal khusus perpindahan adaptif. Gangguan bersama masuk roster atau fraksi produktif, jangan dihitung dua kali.</x:v>
      </x:c>
      <x:c r="B5" s="2"/>
      <x:c r="C5" s="2"/>
      <x:c r="D5" s="2"/>
      <x:c r="E5" s="2"/>
      <x:c r="F5" s="2"/>
      <x:c r="G5" s="2"/>
      <x:c r="H5" s="2"/>
    </x:row>
    <x:row r="6" ht="24" customHeight="1">
      <x:c r="A6" s="2"/>
      <x:c r="B6" s="2"/>
      <x:c r="C6" s="2"/>
      <x:c r="D6" s="2"/>
      <x:c r="E6" s="2"/>
      <x:c r="F6" s="2"/>
      <x:c r="G6" s="2"/>
      <x:c r="H6" s="2"/>
    </x:row>
    <x:row r="7" ht="58" customHeight="1">
      <x:c r="A7" s="8" t="str">
        <x:v>Mulai</x:v>
      </x:c>
      <x:c r="B7" s="8" t="str">
        <x:v>Kedatangan record</x:v>
      </x:c>
      <x:c r="C7" s="8" t="str">
        <x:v>Operator aktif tersedia</x:v>
      </x:c>
      <x:c r="D7" s="8" t="str">
        <x:v>Adaptif U</x:v>
      </x:c>
      <x:c r="E7" s="8" t="str">
        <x:v>Adaptif E</x:v>
      </x:c>
      <x:c r="F7" s="8" t="str">
        <x:v>Hilang U operator-menit</x:v>
      </x:c>
      <x:c r="G7" s="8" t="str">
        <x:v>Hilang E operator-menit</x:v>
      </x:c>
      <x:c r="H7" s="8" t="str">
        <x:v>Pemeriksaan</x:v>
      </x:c>
    </x:row>
    <x:row r="8" ht="24" customHeight="1">
      <x:c r="A8" s="13" t="n">
        <x:f>'Input'!$B$16+(8-8)*'Input'!$B$15/1440</x:f>
        <x:v>0.4166666666666667</x:v>
      </x:c>
      <x:c r="B8" s="15" t="n">
        <x:f>'Input'!$B$7/28</x:f>
        <x:v>25.714285714285715</x:v>
      </x:c>
      <x:c r="C8" s="15" t="n">
        <x:v>6</x:v>
      </x:c>
      <x:c r="D8" s="15" t="n">
        <x:v>5</x:v>
      </x:c>
      <x:c r="E8" s="15" t="n">
        <x:v>1</x:v>
      </x:c>
      <x:c r="F8" s="15" t="n">
        <x:v>0</x:v>
      </x:c>
      <x:c r="G8" s="15" t="n">
        <x:v>0</x:v>
      </x:c>
      <x:c r="H8" s="2" t="str">
        <x:f>IF(AND(COUNT(B8:G8)=6,B8&gt;=0,C8&gt;=0,C8&lt;='Input'!$B$9,MOD(C8,1)=0,D8&gt;=0,MOD(D8,1)=0,E8&gt;=0,MOD(E8,1)=0,D8+E8&lt;=C8,F8&gt;=0,F8&lt;=D8*'Input'!$B$15,G8&gt;=0,G8&lt;=E8*'Input'!$B$15),"Valid untuk hitung","PERIKSA alokasi")</x:f>
        <x:v>Valid untuk hitung</x:v>
      </x:c>
    </x:row>
    <x:row r="9" ht="24" customHeight="1">
      <x:c r="A9" s="13" t="n">
        <x:f>'Input'!$B$16+(9-8)*'Input'!$B$15/1440</x:f>
        <x:v>0.42708333333333337</x:v>
      </x:c>
      <x:c r="B9" s="15" t="n">
        <x:f>'Input'!$B$7/28</x:f>
        <x:v>25.714285714285715</x:v>
      </x:c>
      <x:c r="C9" s="15" t="n">
        <x:v>6</x:v>
      </x:c>
      <x:c r="D9" s="15" t="n">
        <x:v>5</x:v>
      </x:c>
      <x:c r="E9" s="15" t="n">
        <x:v>1</x:v>
      </x:c>
      <x:c r="F9" s="15" t="n">
        <x:v>0</x:v>
      </x:c>
      <x:c r="G9" s="15" t="n">
        <x:v>0</x:v>
      </x:c>
      <x:c r="H9" s="2" t="str">
        <x:f>IF(AND(COUNT(B9:G9)=6,B9&gt;=0,C9&gt;=0,C9&lt;='Input'!$B$9,MOD(C9,1)=0,D9&gt;=0,MOD(D9,1)=0,E9&gt;=0,MOD(E9,1)=0,D9+E9&lt;=C9,F9&gt;=0,F9&lt;=D9*'Input'!$B$15,G9&gt;=0,G9&lt;=E9*'Input'!$B$15),"Valid untuk hitung","PERIKSA alokasi")</x:f>
        <x:v>Valid untuk hitung</x:v>
      </x:c>
    </x:row>
    <x:row r="10" ht="24" customHeight="1">
      <x:c r="A10" s="13" t="n">
        <x:f>'Input'!$B$16+(10-8)*'Input'!$B$15/1440</x:f>
        <x:v>0.4375</x:v>
      </x:c>
      <x:c r="B10" s="15" t="n">
        <x:f>'Input'!$B$7/28</x:f>
        <x:v>25.714285714285715</x:v>
      </x:c>
      <x:c r="C10" s="15" t="n">
        <x:v>6</x:v>
      </x:c>
      <x:c r="D10" s="15" t="n">
        <x:v>5</x:v>
      </x:c>
      <x:c r="E10" s="15" t="n">
        <x:v>1</x:v>
      </x:c>
      <x:c r="F10" s="15" t="n">
        <x:v>0</x:v>
      </x:c>
      <x:c r="G10" s="15" t="n">
        <x:v>0</x:v>
      </x:c>
      <x:c r="H10" s="2" t="str">
        <x:f>IF(AND(COUNT(B10:G10)=6,B10&gt;=0,C10&gt;=0,C10&lt;='Input'!$B$9,MOD(C10,1)=0,D10&gt;=0,MOD(D10,1)=0,E10&gt;=0,MOD(E10,1)=0,D10+E10&lt;=C10,F10&gt;=0,F10&lt;=D10*'Input'!$B$15,G10&gt;=0,G10&lt;=E10*'Input'!$B$15),"Valid untuk hitung","PERIKSA alokasi")</x:f>
        <x:v>Valid untuk hitung</x:v>
      </x:c>
    </x:row>
    <x:row r="11" ht="24" customHeight="1">
      <x:c r="A11" s="13" t="n">
        <x:f>'Input'!$B$16+(11-8)*'Input'!$B$15/1440</x:f>
        <x:v>0.4479166666666667</x:v>
      </x:c>
      <x:c r="B11" s="15" t="n">
        <x:f>'Input'!$B$7/28</x:f>
        <x:v>25.714285714285715</x:v>
      </x:c>
      <x:c r="C11" s="15" t="n">
        <x:v>6</x:v>
      </x:c>
      <x:c r="D11" s="15" t="n">
        <x:v>5</x:v>
      </x:c>
      <x:c r="E11" s="15" t="n">
        <x:v>1</x:v>
      </x:c>
      <x:c r="F11" s="15" t="n">
        <x:v>0</x:v>
      </x:c>
      <x:c r="G11" s="15" t="n">
        <x:v>0</x:v>
      </x:c>
      <x:c r="H11" s="2" t="str">
        <x:f>IF(AND(COUNT(B11:G11)=6,B11&gt;=0,C11&gt;=0,C11&lt;='Input'!$B$9,MOD(C11,1)=0,D11&gt;=0,MOD(D11,1)=0,E11&gt;=0,MOD(E11,1)=0,D11+E11&lt;=C11,F11&gt;=0,F11&lt;=D11*'Input'!$B$15,G11&gt;=0,G11&lt;=E11*'Input'!$B$15),"Valid untuk hitung","PERIKSA alokasi")</x:f>
        <x:v>Valid untuk hitung</x:v>
      </x:c>
    </x:row>
    <x:row r="12" ht="24" customHeight="1">
      <x:c r="A12" s="13" t="n">
        <x:f>'Input'!$B$16+(12-8)*'Input'!$B$15/1440</x:f>
        <x:v>0.45833333333333337</x:v>
      </x:c>
      <x:c r="B12" s="15" t="n">
        <x:f>'Input'!$B$7/28</x:f>
        <x:v>25.714285714285715</x:v>
      </x:c>
      <x:c r="C12" s="15" t="n">
        <x:v>6</x:v>
      </x:c>
      <x:c r="D12" s="15" t="n">
        <x:v>5</x:v>
      </x:c>
      <x:c r="E12" s="15" t="n">
        <x:v>1</x:v>
      </x:c>
      <x:c r="F12" s="15" t="n">
        <x:v>0</x:v>
      </x:c>
      <x:c r="G12" s="15" t="n">
        <x:v>0</x:v>
      </x:c>
      <x:c r="H12" s="2" t="str">
        <x:f>IF(AND(COUNT(B12:G12)=6,B12&gt;=0,C12&gt;=0,C12&lt;='Input'!$B$9,MOD(C12,1)=0,D12&gt;=0,MOD(D12,1)=0,E12&gt;=0,MOD(E12,1)=0,D12+E12&lt;=C12,F12&gt;=0,F12&lt;=D12*'Input'!$B$15,G12&gt;=0,G12&lt;=E12*'Input'!$B$15),"Valid untuk hitung","PERIKSA alokasi")</x:f>
        <x:v>Valid untuk hitung</x:v>
      </x:c>
    </x:row>
    <x:row r="13" ht="24" customHeight="1">
      <x:c r="A13" s="13" t="n">
        <x:f>'Input'!$B$16+(13-8)*'Input'!$B$15/1440</x:f>
        <x:v>0.46875</x:v>
      </x:c>
      <x:c r="B13" s="15" t="n">
        <x:f>'Input'!$B$7/28</x:f>
        <x:v>25.714285714285715</x:v>
      </x:c>
      <x:c r="C13" s="15" t="n">
        <x:v>6</x:v>
      </x:c>
      <x:c r="D13" s="15" t="n">
        <x:v>5</x:v>
      </x:c>
      <x:c r="E13" s="15" t="n">
        <x:v>1</x:v>
      </x:c>
      <x:c r="F13" s="15" t="n">
        <x:v>0</x:v>
      </x:c>
      <x:c r="G13" s="15" t="n">
        <x:v>0</x:v>
      </x:c>
      <x:c r="H13" s="2" t="str">
        <x:f>IF(AND(COUNT(B13:G13)=6,B13&gt;=0,C13&gt;=0,C13&lt;='Input'!$B$9,MOD(C13,1)=0,D13&gt;=0,MOD(D13,1)=0,E13&gt;=0,MOD(E13,1)=0,D13+E13&lt;=C13,F13&gt;=0,F13&lt;=D13*'Input'!$B$15,G13&gt;=0,G13&lt;=E13*'Input'!$B$15),"Valid untuk hitung","PERIKSA alokasi")</x:f>
        <x:v>Valid untuk hitung</x:v>
      </x:c>
    </x:row>
    <x:row r="14" ht="24" customHeight="1">
      <x:c r="A14" s="13" t="n">
        <x:f>'Input'!$B$16+(14-8)*'Input'!$B$15/1440</x:f>
        <x:v>0.4791666666666667</x:v>
      </x:c>
      <x:c r="B14" s="15" t="n">
        <x:f>'Input'!$B$7/28</x:f>
        <x:v>25.714285714285715</x:v>
      </x:c>
      <x:c r="C14" s="15" t="n">
        <x:v>6</x:v>
      </x:c>
      <x:c r="D14" s="15" t="n">
        <x:v>5</x:v>
      </x:c>
      <x:c r="E14" s="15" t="n">
        <x:v>1</x:v>
      </x:c>
      <x:c r="F14" s="15" t="n">
        <x:v>0</x:v>
      </x:c>
      <x:c r="G14" s="15" t="n">
        <x:v>0</x:v>
      </x:c>
      <x:c r="H14" s="2" t="str">
        <x:f>IF(AND(COUNT(B14:G14)=6,B14&gt;=0,C14&gt;=0,C14&lt;='Input'!$B$9,MOD(C14,1)=0,D14&gt;=0,MOD(D14,1)=0,E14&gt;=0,MOD(E14,1)=0,D14+E14&lt;=C14,F14&gt;=0,F14&lt;=D14*'Input'!$B$15,G14&gt;=0,G14&lt;=E14*'Input'!$B$15),"Valid untuk hitung","PERIKSA alokasi")</x:f>
        <x:v>Valid untuk hitung</x:v>
      </x:c>
    </x:row>
    <x:row r="15" ht="24" customHeight="1">
      <x:c r="A15" s="13" t="n">
        <x:f>'Input'!$B$16+(15-8)*'Input'!$B$15/1440</x:f>
        <x:v>0.48958333333333337</x:v>
      </x:c>
      <x:c r="B15" s="15" t="n">
        <x:f>'Input'!$B$7/28</x:f>
        <x:v>25.714285714285715</x:v>
      </x:c>
      <x:c r="C15" s="15" t="n">
        <x:v>6</x:v>
      </x:c>
      <x:c r="D15" s="15" t="n">
        <x:v>5</x:v>
      </x:c>
      <x:c r="E15" s="15" t="n">
        <x:v>1</x:v>
      </x:c>
      <x:c r="F15" s="15" t="n">
        <x:v>0</x:v>
      </x:c>
      <x:c r="G15" s="15" t="n">
        <x:v>0</x:v>
      </x:c>
      <x:c r="H15" s="2" t="str">
        <x:f>IF(AND(COUNT(B15:G15)=6,B15&gt;=0,C15&gt;=0,C15&lt;='Input'!$B$9,MOD(C15,1)=0,D15&gt;=0,MOD(D15,1)=0,E15&gt;=0,MOD(E15,1)=0,D15+E15&lt;=C15,F15&gt;=0,F15&lt;=D15*'Input'!$B$15,G15&gt;=0,G15&lt;=E15*'Input'!$B$15),"Valid untuk hitung","PERIKSA alokasi")</x:f>
        <x:v>Valid untuk hitung</x:v>
      </x:c>
    </x:row>
    <x:row r="16" ht="24" customHeight="1">
      <x:c r="A16" s="13" t="n">
        <x:f>'Input'!$B$16+(16-8)*'Input'!$B$15/1440</x:f>
        <x:v>0.5</x:v>
      </x:c>
      <x:c r="B16" s="15" t="n">
        <x:f>'Input'!$B$7/28</x:f>
        <x:v>25.714285714285715</x:v>
      </x:c>
      <x:c r="C16" s="15" t="n">
        <x:v>6</x:v>
      </x:c>
      <x:c r="D16" s="15" t="n">
        <x:v>5</x:v>
      </x:c>
      <x:c r="E16" s="15" t="n">
        <x:v>1</x:v>
      </x:c>
      <x:c r="F16" s="15" t="n">
        <x:v>0</x:v>
      </x:c>
      <x:c r="G16" s="15" t="n">
        <x:v>0</x:v>
      </x:c>
      <x:c r="H16" s="2" t="str">
        <x:f>IF(AND(COUNT(B16:G16)=6,B16&gt;=0,C16&gt;=0,C16&lt;='Input'!$B$9,MOD(C16,1)=0,D16&gt;=0,MOD(D16,1)=0,E16&gt;=0,MOD(E16,1)=0,D16+E16&lt;=C16,F16&gt;=0,F16&lt;=D16*'Input'!$B$15,G16&gt;=0,G16&lt;=E16*'Input'!$B$15),"Valid untuk hitung","PERIKSA alokasi")</x:f>
        <x:v>Valid untuk hitung</x:v>
      </x:c>
    </x:row>
    <x:row r="17" ht="24" customHeight="1">
      <x:c r="A17" s="13" t="n">
        <x:f>'Input'!$B$16+(17-8)*'Input'!$B$15/1440</x:f>
        <x:v>0.5104166666666667</x:v>
      </x:c>
      <x:c r="B17" s="15" t="n">
        <x:f>'Input'!$B$7/28</x:f>
        <x:v>25.714285714285715</x:v>
      </x:c>
      <x:c r="C17" s="15" t="n">
        <x:v>6</x:v>
      </x:c>
      <x:c r="D17" s="15" t="n">
        <x:v>5</x:v>
      </x:c>
      <x:c r="E17" s="15" t="n">
        <x:v>1</x:v>
      </x:c>
      <x:c r="F17" s="15" t="n">
        <x:v>0</x:v>
      </x:c>
      <x:c r="G17" s="15" t="n">
        <x:v>0</x:v>
      </x:c>
      <x:c r="H17" s="2" t="str">
        <x:f>IF(AND(COUNT(B17:G17)=6,B17&gt;=0,C17&gt;=0,C17&lt;='Input'!$B$9,MOD(C17,1)=0,D17&gt;=0,MOD(D17,1)=0,E17&gt;=0,MOD(E17,1)=0,D17+E17&lt;=C17,F17&gt;=0,F17&lt;=D17*'Input'!$B$15,G17&gt;=0,G17&lt;=E17*'Input'!$B$15),"Valid untuk hitung","PERIKSA alokasi")</x:f>
        <x:v>Valid untuk hitung</x:v>
      </x:c>
    </x:row>
    <x:row r="18" ht="24" customHeight="1">
      <x:c r="A18" s="13" t="n">
        <x:f>'Input'!$B$16+(18-8)*'Input'!$B$15/1440</x:f>
        <x:v>0.5208333333333334</x:v>
      </x:c>
      <x:c r="B18" s="15" t="n">
        <x:f>'Input'!$B$7/28</x:f>
        <x:v>25.714285714285715</x:v>
      </x:c>
      <x:c r="C18" s="15" t="n">
        <x:v>6</x:v>
      </x:c>
      <x:c r="D18" s="15" t="n">
        <x:v>5</x:v>
      </x:c>
      <x:c r="E18" s="15" t="n">
        <x:v>1</x:v>
      </x:c>
      <x:c r="F18" s="15" t="n">
        <x:v>0</x:v>
      </x:c>
      <x:c r="G18" s="15" t="n">
        <x:v>0</x:v>
      </x:c>
      <x:c r="H18" s="2" t="str">
        <x:f>IF(AND(COUNT(B18:G18)=6,B18&gt;=0,C18&gt;=0,C18&lt;='Input'!$B$9,MOD(C18,1)=0,D18&gt;=0,MOD(D18,1)=0,E18&gt;=0,MOD(E18,1)=0,D18+E18&lt;=C18,F18&gt;=0,F18&lt;=D18*'Input'!$B$15,G18&gt;=0,G18&lt;=E18*'Input'!$B$15),"Valid untuk hitung","PERIKSA alokasi")</x:f>
        <x:v>Valid untuk hitung</x:v>
      </x:c>
    </x:row>
    <x:row r="19" ht="24" customHeight="1">
      <x:c r="A19" s="13" t="n">
        <x:f>'Input'!$B$16+(19-8)*'Input'!$B$15/1440</x:f>
        <x:v>0.53125</x:v>
      </x:c>
      <x:c r="B19" s="15" t="n">
        <x:f>'Input'!$B$7/28</x:f>
        <x:v>25.714285714285715</x:v>
      </x:c>
      <x:c r="C19" s="15" t="n">
        <x:v>6</x:v>
      </x:c>
      <x:c r="D19" s="15" t="n">
        <x:v>5</x:v>
      </x:c>
      <x:c r="E19" s="15" t="n">
        <x:v>1</x:v>
      </x:c>
      <x:c r="F19" s="15" t="n">
        <x:v>0</x:v>
      </x:c>
      <x:c r="G19" s="15" t="n">
        <x:v>0</x:v>
      </x:c>
      <x:c r="H19" s="2" t="str">
        <x:f>IF(AND(COUNT(B19:G19)=6,B19&gt;=0,C19&gt;=0,C19&lt;='Input'!$B$9,MOD(C19,1)=0,D19&gt;=0,MOD(D19,1)=0,E19&gt;=0,MOD(E19,1)=0,D19+E19&lt;=C19,F19&gt;=0,F19&lt;=D19*'Input'!$B$15,G19&gt;=0,G19&lt;=E19*'Input'!$B$15),"Valid untuk hitung","PERIKSA alokasi")</x:f>
        <x:v>Valid untuk hitung</x:v>
      </x:c>
    </x:row>
    <x:row r="20" ht="24" customHeight="1">
      <x:c r="A20" s="13" t="n">
        <x:f>'Input'!$B$16+(20-8)*'Input'!$B$15/1440</x:f>
        <x:v>0.5416666666666667</x:v>
      </x:c>
      <x:c r="B20" s="15" t="n">
        <x:f>'Input'!$B$7/28</x:f>
        <x:v>25.714285714285715</x:v>
      </x:c>
      <x:c r="C20" s="15" t="n">
        <x:v>6</x:v>
      </x:c>
      <x:c r="D20" s="15" t="n">
        <x:v>5</x:v>
      </x:c>
      <x:c r="E20" s="15" t="n">
        <x:v>1</x:v>
      </x:c>
      <x:c r="F20" s="15" t="n">
        <x:v>0</x:v>
      </x:c>
      <x:c r="G20" s="15" t="n">
        <x:v>0</x:v>
      </x:c>
      <x:c r="H20" s="2" t="str">
        <x:f>IF(AND(COUNT(B20:G20)=6,B20&gt;=0,C20&gt;=0,C20&lt;='Input'!$B$9,MOD(C20,1)=0,D20&gt;=0,MOD(D20,1)=0,E20&gt;=0,MOD(E20,1)=0,D20+E20&lt;=C20,F20&gt;=0,F20&lt;=D20*'Input'!$B$15,G20&gt;=0,G20&lt;=E20*'Input'!$B$15),"Valid untuk hitung","PERIKSA alokasi")</x:f>
        <x:v>Valid untuk hitung</x:v>
      </x:c>
    </x:row>
    <x:row r="21" ht="24" customHeight="1">
      <x:c r="A21" s="13" t="n">
        <x:f>'Input'!$B$16+(21-8)*'Input'!$B$15/1440</x:f>
        <x:v>0.5520833333333334</x:v>
      </x:c>
      <x:c r="B21" s="15" t="n">
        <x:f>'Input'!$B$7/28</x:f>
        <x:v>25.714285714285715</x:v>
      </x:c>
      <x:c r="C21" s="15" t="n">
        <x:v>6</x:v>
      </x:c>
      <x:c r="D21" s="15" t="n">
        <x:v>5</x:v>
      </x:c>
      <x:c r="E21" s="15" t="n">
        <x:v>1</x:v>
      </x:c>
      <x:c r="F21" s="15" t="n">
        <x:v>0</x:v>
      </x:c>
      <x:c r="G21" s="15" t="n">
        <x:v>0</x:v>
      </x:c>
      <x:c r="H21" s="2" t="str">
        <x:f>IF(AND(COUNT(B21:G21)=6,B21&gt;=0,C21&gt;=0,C21&lt;='Input'!$B$9,MOD(C21,1)=0,D21&gt;=0,MOD(D21,1)=0,E21&gt;=0,MOD(E21,1)=0,D21+E21&lt;=C21,F21&gt;=0,F21&lt;=D21*'Input'!$B$15,G21&gt;=0,G21&lt;=E21*'Input'!$B$15),"Valid untuk hitung","PERIKSA alokasi")</x:f>
        <x:v>Valid untuk hitung</x:v>
      </x:c>
    </x:row>
    <x:row r="22" ht="24" customHeight="1">
      <x:c r="A22" s="13" t="n">
        <x:f>'Input'!$B$16+(22-8)*'Input'!$B$15/1440</x:f>
        <x:v>0.5625</x:v>
      </x:c>
      <x:c r="B22" s="15" t="n">
        <x:f>'Input'!$B$7/28</x:f>
        <x:v>25.714285714285715</x:v>
      </x:c>
      <x:c r="C22" s="15" t="n">
        <x:v>6</x:v>
      </x:c>
      <x:c r="D22" s="15" t="n">
        <x:v>5</x:v>
      </x:c>
      <x:c r="E22" s="15" t="n">
        <x:v>1</x:v>
      </x:c>
      <x:c r="F22" s="15" t="n">
        <x:v>0</x:v>
      </x:c>
      <x:c r="G22" s="15" t="n">
        <x:v>0</x:v>
      </x:c>
      <x:c r="H22" s="2" t="str">
        <x:f>IF(AND(COUNT(B22:G22)=6,B22&gt;=0,C22&gt;=0,C22&lt;='Input'!$B$9,MOD(C22,1)=0,D22&gt;=0,MOD(D22,1)=0,E22&gt;=0,MOD(E22,1)=0,D22+E22&lt;=C22,F22&gt;=0,F22&lt;=D22*'Input'!$B$15,G22&gt;=0,G22&lt;=E22*'Input'!$B$15),"Valid untuk hitung","PERIKSA alokasi")</x:f>
        <x:v>Valid untuk hitung</x:v>
      </x:c>
    </x:row>
    <x:row r="23" ht="24" customHeight="1">
      <x:c r="A23" s="13" t="n">
        <x:f>'Input'!$B$16+(23-8)*'Input'!$B$15/1440</x:f>
        <x:v>0.5729166666666667</x:v>
      </x:c>
      <x:c r="B23" s="15" t="n">
        <x:f>'Input'!$B$7/28</x:f>
        <x:v>25.714285714285715</x:v>
      </x:c>
      <x:c r="C23" s="15" t="n">
        <x:v>6</x:v>
      </x:c>
      <x:c r="D23" s="15" t="n">
        <x:v>5</x:v>
      </x:c>
      <x:c r="E23" s="15" t="n">
        <x:v>1</x:v>
      </x:c>
      <x:c r="F23" s="15" t="n">
        <x:v>0</x:v>
      </x:c>
      <x:c r="G23" s="15" t="n">
        <x:v>0</x:v>
      </x:c>
      <x:c r="H23" s="2" t="str">
        <x:f>IF(AND(COUNT(B23:G23)=6,B23&gt;=0,C23&gt;=0,C23&lt;='Input'!$B$9,MOD(C23,1)=0,D23&gt;=0,MOD(D23,1)=0,E23&gt;=0,MOD(E23,1)=0,D23+E23&lt;=C23,F23&gt;=0,F23&lt;=D23*'Input'!$B$15,G23&gt;=0,G23&lt;=E23*'Input'!$B$15),"Valid untuk hitung","PERIKSA alokasi")</x:f>
        <x:v>Valid untuk hitung</x:v>
      </x:c>
    </x:row>
    <x:row r="24" ht="24" customHeight="1">
      <x:c r="A24" s="13" t="n">
        <x:f>'Input'!$B$16+(24-8)*'Input'!$B$15/1440</x:f>
        <x:v>0.5833333333333334</x:v>
      </x:c>
      <x:c r="B24" s="15" t="n">
        <x:f>'Input'!$B$7/28</x:f>
        <x:v>25.714285714285715</x:v>
      </x:c>
      <x:c r="C24" s="15" t="n">
        <x:v>6</x:v>
      </x:c>
      <x:c r="D24" s="15" t="n">
        <x:v>5</x:v>
      </x:c>
      <x:c r="E24" s="15" t="n">
        <x:v>1</x:v>
      </x:c>
      <x:c r="F24" s="15" t="n">
        <x:v>0</x:v>
      </x:c>
      <x:c r="G24" s="15" t="n">
        <x:v>0</x:v>
      </x:c>
      <x:c r="H24" s="2" t="str">
        <x:f>IF(AND(COUNT(B24:G24)=6,B24&gt;=0,C24&gt;=0,C24&lt;='Input'!$B$9,MOD(C24,1)=0,D24&gt;=0,MOD(D24,1)=0,E24&gt;=0,MOD(E24,1)=0,D24+E24&lt;=C24,F24&gt;=0,F24&lt;=D24*'Input'!$B$15,G24&gt;=0,G24&lt;=E24*'Input'!$B$15),"Valid untuk hitung","PERIKSA alokasi")</x:f>
        <x:v>Valid untuk hitung</x:v>
      </x:c>
    </x:row>
    <x:row r="25" ht="24" customHeight="1">
      <x:c r="A25" s="13" t="n">
        <x:f>'Input'!$B$16+(25-8)*'Input'!$B$15/1440</x:f>
        <x:v>0.59375</x:v>
      </x:c>
      <x:c r="B25" s="15" t="n">
        <x:f>'Input'!$B$7/28</x:f>
        <x:v>25.714285714285715</x:v>
      </x:c>
      <x:c r="C25" s="15" t="n">
        <x:v>6</x:v>
      </x:c>
      <x:c r="D25" s="15" t="n">
        <x:v>5</x:v>
      </x:c>
      <x:c r="E25" s="15" t="n">
        <x:v>1</x:v>
      </x:c>
      <x:c r="F25" s="15" t="n">
        <x:v>0</x:v>
      </x:c>
      <x:c r="G25" s="15" t="n">
        <x:v>0</x:v>
      </x:c>
      <x:c r="H25" s="2" t="str">
        <x:f>IF(AND(COUNT(B25:G25)=6,B25&gt;=0,C25&gt;=0,C25&lt;='Input'!$B$9,MOD(C25,1)=0,D25&gt;=0,MOD(D25,1)=0,E25&gt;=0,MOD(E25,1)=0,D25+E25&lt;=C25,F25&gt;=0,F25&lt;=D25*'Input'!$B$15,G25&gt;=0,G25&lt;=E25*'Input'!$B$15),"Valid untuk hitung","PERIKSA alokasi")</x:f>
        <x:v>Valid untuk hitung</x:v>
      </x:c>
    </x:row>
    <x:row r="26" ht="24" customHeight="1">
      <x:c r="A26" s="13" t="n">
        <x:f>'Input'!$B$16+(26-8)*'Input'!$B$15/1440</x:f>
        <x:v>0.6041666666666667</x:v>
      </x:c>
      <x:c r="B26" s="15" t="n">
        <x:f>'Input'!$B$7/28</x:f>
        <x:v>25.714285714285715</x:v>
      </x:c>
      <x:c r="C26" s="15" t="n">
        <x:v>6</x:v>
      </x:c>
      <x:c r="D26" s="15" t="n">
        <x:v>5</x:v>
      </x:c>
      <x:c r="E26" s="15" t="n">
        <x:v>1</x:v>
      </x:c>
      <x:c r="F26" s="15" t="n">
        <x:v>0</x:v>
      </x:c>
      <x:c r="G26" s="15" t="n">
        <x:v>0</x:v>
      </x:c>
      <x:c r="H26" s="2" t="str">
        <x:f>IF(AND(COUNT(B26:G26)=6,B26&gt;=0,C26&gt;=0,C26&lt;='Input'!$B$9,MOD(C26,1)=0,D26&gt;=0,MOD(D26,1)=0,E26&gt;=0,MOD(E26,1)=0,D26+E26&lt;=C26,F26&gt;=0,F26&lt;=D26*'Input'!$B$15,G26&gt;=0,G26&lt;=E26*'Input'!$B$15),"Valid untuk hitung","PERIKSA alokasi")</x:f>
        <x:v>Valid untuk hitung</x:v>
      </x:c>
    </x:row>
    <x:row r="27" ht="24" customHeight="1">
      <x:c r="A27" s="13" t="n">
        <x:f>'Input'!$B$16+(27-8)*'Input'!$B$15/1440</x:f>
        <x:v>0.6145833333333334</x:v>
      </x:c>
      <x:c r="B27" s="15" t="n">
        <x:f>'Input'!$B$7/28</x:f>
        <x:v>25.714285714285715</x:v>
      </x:c>
      <x:c r="C27" s="15" t="n">
        <x:v>6</x:v>
      </x:c>
      <x:c r="D27" s="15" t="n">
        <x:v>5</x:v>
      </x:c>
      <x:c r="E27" s="15" t="n">
        <x:v>1</x:v>
      </x:c>
      <x:c r="F27" s="15" t="n">
        <x:v>0</x:v>
      </x:c>
      <x:c r="G27" s="15" t="n">
        <x:v>0</x:v>
      </x:c>
      <x:c r="H27" s="2" t="str">
        <x:f>IF(AND(COUNT(B27:G27)=6,B27&gt;=0,C27&gt;=0,C27&lt;='Input'!$B$9,MOD(C27,1)=0,D27&gt;=0,MOD(D27,1)=0,E27&gt;=0,MOD(E27,1)=0,D27+E27&lt;=C27,F27&gt;=0,F27&lt;=D27*'Input'!$B$15,G27&gt;=0,G27&lt;=E27*'Input'!$B$15),"Valid untuk hitung","PERIKSA alokasi")</x:f>
        <x:v>Valid untuk hitung</x:v>
      </x:c>
    </x:row>
    <x:row r="28" ht="24" customHeight="1">
      <x:c r="A28" s="13" t="n">
        <x:f>'Input'!$B$16+(28-8)*'Input'!$B$15/1440</x:f>
        <x:v>0.625</x:v>
      </x:c>
      <x:c r="B28" s="15" t="n">
        <x:f>'Input'!$B$7/28</x:f>
        <x:v>25.714285714285715</x:v>
      </x:c>
      <x:c r="C28" s="15" t="n">
        <x:v>6</x:v>
      </x:c>
      <x:c r="D28" s="15" t="n">
        <x:v>5</x:v>
      </x:c>
      <x:c r="E28" s="15" t="n">
        <x:v>1</x:v>
      </x:c>
      <x:c r="F28" s="15" t="n">
        <x:v>0</x:v>
      </x:c>
      <x:c r="G28" s="15" t="n">
        <x:v>0</x:v>
      </x:c>
      <x:c r="H28" s="2" t="str">
        <x:f>IF(AND(COUNT(B28:G28)=6,B28&gt;=0,C28&gt;=0,C28&lt;='Input'!$B$9,MOD(C28,1)=0,D28&gt;=0,MOD(D28,1)=0,E28&gt;=0,MOD(E28,1)=0,D28+E28&lt;=C28,F28&gt;=0,F28&lt;=D28*'Input'!$B$15,G28&gt;=0,G28&lt;=E28*'Input'!$B$15),"Valid untuk hitung","PERIKSA alokasi")</x:f>
        <x:v>Valid untuk hitung</x:v>
      </x:c>
    </x:row>
    <x:row r="29" ht="24" customHeight="1">
      <x:c r="A29" s="13" t="n">
        <x:f>'Input'!$B$16+(29-8)*'Input'!$B$15/1440</x:f>
        <x:v>0.6354166666666667</x:v>
      </x:c>
      <x:c r="B29" s="15" t="n">
        <x:f>'Input'!$B$7/28</x:f>
        <x:v>25.714285714285715</x:v>
      </x:c>
      <x:c r="C29" s="15" t="n">
        <x:v>6</x:v>
      </x:c>
      <x:c r="D29" s="15" t="n">
        <x:v>5</x:v>
      </x:c>
      <x:c r="E29" s="15" t="n">
        <x:v>1</x:v>
      </x:c>
      <x:c r="F29" s="15" t="n">
        <x:v>0</x:v>
      </x:c>
      <x:c r="G29" s="15" t="n">
        <x:v>0</x:v>
      </x:c>
      <x:c r="H29" s="2" t="str">
        <x:f>IF(AND(COUNT(B29:G29)=6,B29&gt;=0,C29&gt;=0,C29&lt;='Input'!$B$9,MOD(C29,1)=0,D29&gt;=0,MOD(D29,1)=0,E29&gt;=0,MOD(E29,1)=0,D29+E29&lt;=C29,F29&gt;=0,F29&lt;=D29*'Input'!$B$15,G29&gt;=0,G29&lt;=E29*'Input'!$B$15),"Valid untuk hitung","PERIKSA alokasi")</x:f>
        <x:v>Valid untuk hitung</x:v>
      </x:c>
    </x:row>
    <x:row r="30" ht="24" customHeight="1">
      <x:c r="A30" s="13" t="n">
        <x:f>'Input'!$B$16+(30-8)*'Input'!$B$15/1440</x:f>
        <x:v>0.6458333333333334</x:v>
      </x:c>
      <x:c r="B30" s="15" t="n">
        <x:f>'Input'!$B$7/28</x:f>
        <x:v>25.714285714285715</x:v>
      </x:c>
      <x:c r="C30" s="15" t="n">
        <x:v>6</x:v>
      </x:c>
      <x:c r="D30" s="15" t="n">
        <x:v>5</x:v>
      </x:c>
      <x:c r="E30" s="15" t="n">
        <x:v>1</x:v>
      </x:c>
      <x:c r="F30" s="15" t="n">
        <x:v>0</x:v>
      </x:c>
      <x:c r="G30" s="15" t="n">
        <x:v>0</x:v>
      </x:c>
      <x:c r="H30" s="2" t="str">
        <x:f>IF(AND(COUNT(B30:G30)=6,B30&gt;=0,C30&gt;=0,C30&lt;='Input'!$B$9,MOD(C30,1)=0,D30&gt;=0,MOD(D30,1)=0,E30&gt;=0,MOD(E30,1)=0,D30+E30&lt;=C30,F30&gt;=0,F30&lt;=D30*'Input'!$B$15,G30&gt;=0,G30&lt;=E30*'Input'!$B$15),"Valid untuk hitung","PERIKSA alokasi")</x:f>
        <x:v>Valid untuk hitung</x:v>
      </x:c>
    </x:row>
    <x:row r="31" ht="24" customHeight="1">
      <x:c r="A31" s="13" t="n">
        <x:f>'Input'!$B$16+(31-8)*'Input'!$B$15/1440</x:f>
        <x:v>0.65625</x:v>
      </x:c>
      <x:c r="B31" s="15" t="n">
        <x:f>'Input'!$B$7/28</x:f>
        <x:v>25.714285714285715</x:v>
      </x:c>
      <x:c r="C31" s="15" t="n">
        <x:v>6</x:v>
      </x:c>
      <x:c r="D31" s="15" t="n">
        <x:v>5</x:v>
      </x:c>
      <x:c r="E31" s="15" t="n">
        <x:v>1</x:v>
      </x:c>
      <x:c r="F31" s="15" t="n">
        <x:v>0</x:v>
      </x:c>
      <x:c r="G31" s="15" t="n">
        <x:v>0</x:v>
      </x:c>
      <x:c r="H31" s="2" t="str">
        <x:f>IF(AND(COUNT(B31:G31)=6,B31&gt;=0,C31&gt;=0,C31&lt;='Input'!$B$9,MOD(C31,1)=0,D31&gt;=0,MOD(D31,1)=0,E31&gt;=0,MOD(E31,1)=0,D31+E31&lt;=C31,F31&gt;=0,F31&lt;=D31*'Input'!$B$15,G31&gt;=0,G31&lt;=E31*'Input'!$B$15),"Valid untuk hitung","PERIKSA alokasi")</x:f>
        <x:v>Valid untuk hitung</x:v>
      </x:c>
    </x:row>
    <x:row r="32" ht="24" customHeight="1">
      <x:c r="A32" s="13" t="n">
        <x:f>'Input'!$B$16+(32-8)*'Input'!$B$15/1440</x:f>
        <x:v>0.6666666666666667</x:v>
      </x:c>
      <x:c r="B32" s="15" t="n">
        <x:f>'Input'!$B$7/28</x:f>
        <x:v>25.714285714285715</x:v>
      </x:c>
      <x:c r="C32" s="15" t="n">
        <x:v>6</x:v>
      </x:c>
      <x:c r="D32" s="15" t="n">
        <x:v>5</x:v>
      </x:c>
      <x:c r="E32" s="15" t="n">
        <x:v>1</x:v>
      </x:c>
      <x:c r="F32" s="15" t="n">
        <x:v>0</x:v>
      </x:c>
      <x:c r="G32" s="15" t="n">
        <x:v>0</x:v>
      </x:c>
      <x:c r="H32" s="2" t="str">
        <x:f>IF(AND(COUNT(B32:G32)=6,B32&gt;=0,C32&gt;=0,C32&lt;='Input'!$B$9,MOD(C32,1)=0,D32&gt;=0,MOD(D32,1)=0,E32&gt;=0,MOD(E32,1)=0,D32+E32&lt;=C32,F32&gt;=0,F32&lt;=D32*'Input'!$B$15,G32&gt;=0,G32&lt;=E32*'Input'!$B$15),"Valid untuk hitung","PERIKSA alokasi")</x:f>
        <x:v>Valid untuk hitung</x:v>
      </x:c>
    </x:row>
    <x:row r="33" ht="24" customHeight="1">
      <x:c r="A33" s="13" t="n">
        <x:f>'Input'!$B$16+(33-8)*'Input'!$B$15/1440</x:f>
        <x:v>0.6770833333333334</x:v>
      </x:c>
      <x:c r="B33" s="15" t="n">
        <x:f>'Input'!$B$7/28</x:f>
        <x:v>25.714285714285715</x:v>
      </x:c>
      <x:c r="C33" s="15" t="n">
        <x:v>6</x:v>
      </x:c>
      <x:c r="D33" s="15" t="n">
        <x:v>5</x:v>
      </x:c>
      <x:c r="E33" s="15" t="n">
        <x:v>1</x:v>
      </x:c>
      <x:c r="F33" s="15" t="n">
        <x:v>0</x:v>
      </x:c>
      <x:c r="G33" s="15" t="n">
        <x:v>0</x:v>
      </x:c>
      <x:c r="H33" s="2" t="str">
        <x:f>IF(AND(COUNT(B33:G33)=6,B33&gt;=0,C33&gt;=0,C33&lt;='Input'!$B$9,MOD(C33,1)=0,D33&gt;=0,MOD(D33,1)=0,E33&gt;=0,MOD(E33,1)=0,D33+E33&lt;=C33,F33&gt;=0,F33&lt;=D33*'Input'!$B$15,G33&gt;=0,G33&lt;=E33*'Input'!$B$15),"Valid untuk hitung","PERIKSA alokasi")</x:f>
        <x:v>Valid untuk hitung</x:v>
      </x:c>
    </x:row>
    <x:row r="34" ht="24" customHeight="1">
      <x:c r="A34" s="13" t="n">
        <x:f>'Input'!$B$16+(34-8)*'Input'!$B$15/1440</x:f>
        <x:v>0.6875</x:v>
      </x:c>
      <x:c r="B34" s="15" t="n">
        <x:f>'Input'!$B$7/28</x:f>
        <x:v>25.714285714285715</x:v>
      </x:c>
      <x:c r="C34" s="15" t="n">
        <x:v>6</x:v>
      </x:c>
      <x:c r="D34" s="15" t="n">
        <x:v>5</x:v>
      </x:c>
      <x:c r="E34" s="15" t="n">
        <x:v>1</x:v>
      </x:c>
      <x:c r="F34" s="15" t="n">
        <x:v>0</x:v>
      </x:c>
      <x:c r="G34" s="15" t="n">
        <x:v>0</x:v>
      </x:c>
      <x:c r="H34" s="2" t="str">
        <x:f>IF(AND(COUNT(B34:G34)=6,B34&gt;=0,C34&gt;=0,C34&lt;='Input'!$B$9,MOD(C34,1)=0,D34&gt;=0,MOD(D34,1)=0,E34&gt;=0,MOD(E34,1)=0,D34+E34&lt;=C34,F34&gt;=0,F34&lt;=D34*'Input'!$B$15,G34&gt;=0,G34&lt;=E34*'Input'!$B$15),"Valid untuk hitung","PERIKSA alokasi")</x:f>
        <x:v>Valid untuk hitung</x:v>
      </x:c>
    </x:row>
    <x:row r="35" ht="24" customHeight="1">
      <x:c r="A35" s="13" t="n">
        <x:f>'Input'!$B$16+(35-8)*'Input'!$B$15/1440</x:f>
        <x:v>0.6979166666666667</x:v>
      </x:c>
      <x:c r="B35" s="15" t="n">
        <x:f>'Input'!$B$7/28</x:f>
        <x:v>25.714285714285715</x:v>
      </x:c>
      <x:c r="C35" s="15" t="n">
        <x:v>6</x:v>
      </x:c>
      <x:c r="D35" s="15" t="n">
        <x:v>5</x:v>
      </x:c>
      <x:c r="E35" s="15" t="n">
        <x:v>1</x:v>
      </x:c>
      <x:c r="F35" s="15" t="n">
        <x:v>0</x:v>
      </x:c>
      <x:c r="G35" s="15" t="n">
        <x:v>0</x:v>
      </x:c>
      <x:c r="H35" s="2" t="str">
        <x:f>IF(AND(COUNT(B35:G35)=6,B35&gt;=0,C35&gt;=0,C35&lt;='Input'!$B$9,MOD(C35,1)=0,D35&gt;=0,MOD(D35,1)=0,E35&gt;=0,MOD(E35,1)=0,D35+E35&lt;=C35,F35&gt;=0,F35&lt;=D35*'Input'!$B$15,G35&gt;=0,G35&lt;=E35*'Input'!$B$15),"Valid untuk hitung","PERIKSA alokasi")</x:f>
        <x:v>Valid untuk hitung</x:v>
      </x:c>
    </x:row>
    <x:row r="36" ht="24" customHeight="1">
      <x:c r="A36" s="2"/>
      <x:c r="B36" s="2"/>
      <x:c r="C36" s="2"/>
      <x:c r="D36" s="2"/>
      <x:c r="E36" s="2"/>
      <x:c r="F36" s="2"/>
      <x:c r="G36" s="2"/>
      <x:c r="H36" s="2"/>
    </x:row>
    <x:row r="37" ht="24" customHeight="1">
      <x:c r="A37" s="2" t="str">
        <x:v>Total record</x:v>
      </x:c>
      <x:c r="B37" s="2" t="n">
        <x:f>SUM(B8:B35)</x:f>
        <x:v>719.9999999999997</x:v>
      </x:c>
      <x:c r="C37" s="2"/>
      <x:c r="D37" s="2"/>
      <x:c r="E37" s="2"/>
      <x:c r="F37" s="2"/>
      <x:c r="G37" s="2"/>
      <x:c r="H37" s="2"/>
    </x:row>
    <x:row r="38" ht="24" customHeight="1">
      <x:c r="A38" s="2" t="str">
        <x:v>Selisih rencana</x:v>
      </x:c>
      <x:c r="B38" s="2" t="n">
        <x:f>ROUND(B37-'Input'!B7,8)</x:f>
        <x:v>0</x:v>
      </x:c>
      <x:c r="C38" s="2"/>
      <x:c r="D38" s="2"/>
      <x:c r="E38" s="2"/>
      <x:c r="F38" s="2"/>
      <x:c r="G38" s="2"/>
      <x:c r="H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</x:row>
    <x:row r="40" ht="24" customHeight="1">
      <x:c r="A40" s="4" t="str">
        <x:v>Selisih nol hanya rekonsiliasi volume. Ini tidak membuktikan pola kedatangan, staffing atau kelayakan antrean.</x:v>
      </x:c>
      <x:c r="B40" s="2"/>
      <x:c r="C40" s="2"/>
      <x:c r="D40" s="2"/>
      <x:c r="E40" s="2"/>
      <x:c r="F40" s="2"/>
      <x:c r="G40" s="2"/>
      <x:c r="H40" s="2"/>
    </x:row>
    <x:row r="41" ht="24" customHeight="1">
      <x:c r="A41" s="4" t="str">
        <x:v>Angka pecahan adalah volume ekspektasi model aliran. Ganti dengan hitungan aktual per 15 menit jika tersedia.</x:v>
      </x:c>
      <x:c r="B41" s="2"/>
      <x:c r="C41" s="2"/>
      <x:c r="D41" s="2"/>
      <x:c r="E41" s="2"/>
      <x:c r="F41" s="2"/>
      <x:c r="G41" s="2"/>
      <x:c r="H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</x:row>
  </x:sheetData>
  <x:conditionalFormatting sqref="H8:H35">
    <x:cfRule type="containsText" dxfId="2" priority="1" operator="containsText" text="PERIKSA"/>
    <x:cfRule type="containsText" dxfId="3" priority="2" operator="containsText" text="n.a.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30" customHeight="1">
      <x:c r="A2" s="3" t="str">
        <x:v>Beban tersisa per interval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4" customHeight="1">
      <x:c r="A3" s="4" t="str">
        <x:v>Model aliran deterministik, bukan simulasi individu: sisa record dapat pecahan dan bukan estimasi waktu tunggu atau okupansi.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4" customHeight="1">
      <x:c r="A4" s="4" t="str">
        <x:v>5+1 memakai satu operator E dan sisanya U dari roster. Enam universal memakai seluruh operator aktif yang dimasukkan.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4" customHeight="1">
      <x:c r="A5" s="4" t="str">
        <x:v>Exception dari standar dapat selesai pada interval sama: asumsi optimistis. Kasus menunggu keputusan eksternal belum dimodelkan.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65" customHeight="1">
      <x:c r="A7" s="8" t="str">
        <x:v>Akhir interval</x:v>
      </x:c>
      <x:c r="B7" s="8" t="str">
        <x:v>Datang</x:v>
      </x:c>
      <x:c r="C7" s="8" t="str">
        <x:v>U 5+1</x:v>
      </x:c>
      <x:c r="D7" s="8" t="str">
        <x:v>E 5+1</x:v>
      </x:c>
      <x:c r="E7" s="8" t="str">
        <x:v>Standar selesai 5+1</x:v>
      </x:c>
      <x:c r="F7" s="8" t="str">
        <x:v>Sisa standar 5+1</x:v>
      </x:c>
      <x:c r="G7" s="8" t="str">
        <x:v>Exception masuk 5+1</x:v>
      </x:c>
      <x:c r="H7" s="8" t="str">
        <x:v>Exception selesai 5+1</x:v>
      </x:c>
      <x:c r="I7" s="8" t="str">
        <x:v>Sisa exception 5+1</x:v>
      </x:c>
      <x:c r="J7" s="8" t="str">
        <x:v>Sisa total 5+1</x:v>
      </x:c>
      <x:c r="K7" s="8" t="str">
        <x:v>Sisa pooled</x:v>
      </x:c>
      <x:c r="L7" s="8" t="str">
        <x:v>Standar selesai adaptif</x:v>
      </x:c>
      <x:c r="M7" s="8" t="str">
        <x:v>Sisa standar adaptif</x:v>
      </x:c>
      <x:c r="N7" s="8" t="str">
        <x:v>Exception masuk adaptif</x:v>
      </x:c>
      <x:c r="O7" s="8" t="str">
        <x:v>Exception selesai adaptif</x:v>
      </x:c>
      <x:c r="P7" s="8" t="str">
        <x:v>Sisa exception adaptif</x:v>
      </x:c>
      <x:c r="Q7" s="8" t="str">
        <x:v>Sisa total adaptif</x:v>
      </x:c>
    </x:row>
    <x:row r="8" ht="24" customHeight="1">
      <x:c r="A8" s="13" t="str">
        <x:f>TEXT('Gelombang'!A8+'Input'!$B$15/1440,"hh:mm")</x:f>
        <x:v>10:15</x:v>
      </x:c>
      <x:c r="B8" s="14" t="n">
        <x:f>'Gelombang'!B8</x:f>
        <x:v>25.714285714285715</x:v>
      </x:c>
      <x:c r="C8" s="14" t="n">
        <x:f>IF(AND('Input'!$B$41="Valid untuk hitung",'Gelombang'!H8="Valid untuk hitung"),MAX('Gelombang'!C8-1,0),"n.a.")</x:f>
        <x:v>5</x:v>
      </x:c>
      <x:c r="D8" s="14" t="n">
        <x:f>IF(AND('Input'!$B$41="Valid untuk hitung",'Gelombang'!H8="Valid untuk hitung"),MIN('Gelombang'!C8,1),"n.a.")</x:f>
        <x:v>1</x:v>
      </x:c>
      <x:c r="E8" s="14" t="n">
        <x:f>IF(AND('Input'!$B$41="Valid untuk hitung",'Gelombang'!H8="Valid untuk hitung"),MIN(0+B8,C8*'Input'!$B$15*60*'Input'!$B$13/'Input'!$B$10),"n.a.")</x:f>
        <x:v>25.714285714285715</x:v>
      </x:c>
      <x:c r="F8" s="14" t="n">
        <x:f>IF(AND('Input'!$B$41="Valid untuk hitung",'Gelombang'!H8="Valid untuk hitung"),0+B8-E8,"n.a.")</x:f>
        <x:v>0</x:v>
      </x:c>
      <x:c r="G8" s="14" t="n">
        <x:f>IF(AND('Input'!$B$41="Valid untuk hitung",'Gelombang'!H8="Valid untuk hitung"),E8*'Input'!$B$11,"n.a.")</x:f>
        <x:v>1.2857142857142858</x:v>
      </x:c>
      <x:c r="H8" s="14" t="n">
        <x:f>IF(AND('Input'!$B$41="Valid untuk hitung",'Gelombang'!H8="Valid untuk hitung"),IF('Input'!$B$12=0,0+G8,MIN(0+G8,D8*'Input'!$B$15*60*'Input'!$B$13/'Input'!$B$12)),"n.a.")</x:f>
        <x:v>1.2857142857142858</x:v>
      </x:c>
      <x:c r="I8" s="14" t="n">
        <x:f>IF(AND('Input'!$B$41="Valid untuk hitung",'Gelombang'!H8="Valid untuk hitung"),0+G8-H8,"n.a.")</x:f>
        <x:v>0</x:v>
      </x:c>
      <x:c r="J8" s="14" t="n">
        <x:f>IF(AND('Input'!$B$41="Valid untuk hitung",'Gelombang'!H8="Valid untuk hitung"),F8+I8,"n.a.")</x:f>
        <x:v>0</x:v>
      </x:c>
      <x:c r="K8" s="14" t="n">
        <x:f>IF(AND('Input'!$B$41="Valid untuk hitung",'Gelombang'!H8="Valid untuk hitung"),MAX(0,0+B8-'Gelombang'!C8*'Input'!$B$15*60*'Input'!$B$13/('Input'!$B$10+'Input'!$B$11*'Input'!$B$12)),"n.a.")</x:f>
        <x:v>0</x:v>
      </x:c>
      <x:c r="L8" s="14" t="n">
        <x:f>IF(AND('Input'!$B$41="Valid untuk hitung",'Gelombang'!H8="Valid untuk hitung"),MIN(0+B8,('Gelombang'!D8*'Input'!$B$15-'Gelombang'!F8)*60*'Input'!$B$13/'Input'!$B$10),"n.a.")</x:f>
        <x:v>25.714285714285715</x:v>
      </x:c>
      <x:c r="M8" s="14" t="n">
        <x:f>IF(AND('Input'!$B$41="Valid untuk hitung",'Gelombang'!H8="Valid untuk hitung"),0+B8-L8,"n.a.")</x:f>
        <x:v>0</x:v>
      </x:c>
      <x:c r="N8" s="14" t="n">
        <x:f>IF(AND('Input'!$B$41="Valid untuk hitung",'Gelombang'!H8="Valid untuk hitung"),L8*'Input'!$B$11,"n.a.")</x:f>
        <x:v>1.2857142857142858</x:v>
      </x:c>
      <x:c r="O8" s="14" t="n">
        <x:f>IF(AND('Input'!$B$41="Valid untuk hitung",'Gelombang'!H8="Valid untuk hitung"),IF('Input'!$B$12=0,0+N8,MIN(0+N8,('Gelombang'!E8*'Input'!$B$15-'Gelombang'!G8)*60*'Input'!$B$13/'Input'!$B$12)),"n.a.")</x:f>
        <x:v>1.2857142857142858</x:v>
      </x:c>
      <x:c r="P8" s="14" t="n">
        <x:f>IF(AND('Input'!$B$41="Valid untuk hitung",'Gelombang'!H8="Valid untuk hitung"),0+N8-O8,"n.a.")</x:f>
        <x:v>0</x:v>
      </x:c>
      <x:c r="Q8" s="14" t="n">
        <x:f>IF(AND('Input'!$B$41="Valid untuk hitung",'Gelombang'!H8="Valid untuk hitung"),M8+P8,"n.a.")</x:f>
        <x:v>0</x:v>
      </x:c>
    </x:row>
    <x:row r="9" ht="24" customHeight="1">
      <x:c r="A9" s="13" t="str">
        <x:f>TEXT('Gelombang'!A9+'Input'!$B$15/1440,"hh:mm")</x:f>
        <x:v>10:30</x:v>
      </x:c>
      <x:c r="B9" s="14" t="n">
        <x:f>'Gelombang'!B9</x:f>
        <x:v>25.714285714285715</x:v>
      </x:c>
      <x:c r="C9" s="14" t="n">
        <x:f>IF(AND('Input'!$B$41="Valid untuk hitung",'Gelombang'!H9="Valid untuk hitung",ISNUMBER(J8),ISNUMBER(K8),ISNUMBER(Q8)),MAX('Gelombang'!C9-1,0),"n.a.")</x:f>
        <x:v>5</x:v>
      </x:c>
      <x:c r="D9" s="14" t="n">
        <x:f>IF(AND('Input'!$B$41="Valid untuk hitung",'Gelombang'!H9="Valid untuk hitung",ISNUMBER(J8),ISNUMBER(K8),ISNUMBER(Q8)),MIN('Gelombang'!C9,1),"n.a.")</x:f>
        <x:v>1</x:v>
      </x:c>
      <x:c r="E9" s="14" t="n">
        <x:f>IF(AND('Input'!$B$41="Valid untuk hitung",'Gelombang'!H9="Valid untuk hitung",ISNUMBER(J8),ISNUMBER(K8),ISNUMBER(Q8)),MIN(F8+B9,C9*'Input'!$B$15*60*'Input'!$B$13/'Input'!$B$10),"n.a.")</x:f>
        <x:v>25.714285714285715</x:v>
      </x:c>
      <x:c r="F9" s="14" t="n">
        <x:f>IF(AND('Input'!$B$41="Valid untuk hitung",'Gelombang'!H9="Valid untuk hitung",ISNUMBER(J8),ISNUMBER(K8),ISNUMBER(Q8)),F8+B9-E9,"n.a.")</x:f>
        <x:v>0</x:v>
      </x:c>
      <x:c r="G9" s="14" t="n">
        <x:f>IF(AND('Input'!$B$41="Valid untuk hitung",'Gelombang'!H9="Valid untuk hitung",ISNUMBER(J8),ISNUMBER(K8),ISNUMBER(Q8)),E9*'Input'!$B$11,"n.a.")</x:f>
        <x:v>1.2857142857142858</x:v>
      </x:c>
      <x:c r="H9" s="14" t="n">
        <x:f>IF(AND('Input'!$B$41="Valid untuk hitung",'Gelombang'!H9="Valid untuk hitung",ISNUMBER(J8),ISNUMBER(K8),ISNUMBER(Q8)),IF('Input'!$B$12=0,I8+G9,MIN(I8+G9,D9*'Input'!$B$15*60*'Input'!$B$13/'Input'!$B$12)),"n.a.")</x:f>
        <x:v>1.2857142857142858</x:v>
      </x:c>
      <x:c r="I9" s="14" t="n">
        <x:f>IF(AND('Input'!$B$41="Valid untuk hitung",'Gelombang'!H9="Valid untuk hitung",ISNUMBER(J8),ISNUMBER(K8),ISNUMBER(Q8)),I8+G9-H9,"n.a.")</x:f>
        <x:v>0</x:v>
      </x:c>
      <x:c r="J9" s="14" t="n">
        <x:f>IF(AND('Input'!$B$41="Valid untuk hitung",'Gelombang'!H9="Valid untuk hitung",ISNUMBER(J8),ISNUMBER(K8),ISNUMBER(Q8)),F9+I9,"n.a.")</x:f>
        <x:v>0</x:v>
      </x:c>
      <x:c r="K9" s="14" t="n">
        <x:f>IF(AND('Input'!$B$41="Valid untuk hitung",'Gelombang'!H9="Valid untuk hitung",ISNUMBER(J8),ISNUMBER(K8),ISNUMBER(Q8)),MAX(0,K8+B9-'Gelombang'!C9*'Input'!$B$15*60*'Input'!$B$13/('Input'!$B$10+'Input'!$B$11*'Input'!$B$12)),"n.a.")</x:f>
        <x:v>0</x:v>
      </x:c>
      <x:c r="L9" s="14" t="n">
        <x:f>IF(AND('Input'!$B$41="Valid untuk hitung",'Gelombang'!H9="Valid untuk hitung",ISNUMBER(J8),ISNUMBER(K8),ISNUMBER(Q8)),MIN(M8+B9,('Gelombang'!D9*'Input'!$B$15-'Gelombang'!F9)*60*'Input'!$B$13/'Input'!$B$10),"n.a.")</x:f>
        <x:v>25.714285714285715</x:v>
      </x:c>
      <x:c r="M9" s="14" t="n">
        <x:f>IF(AND('Input'!$B$41="Valid untuk hitung",'Gelombang'!H9="Valid untuk hitung",ISNUMBER(J8),ISNUMBER(K8),ISNUMBER(Q8)),M8+B9-L9,"n.a.")</x:f>
        <x:v>0</x:v>
      </x:c>
      <x:c r="N9" s="14" t="n">
        <x:f>IF(AND('Input'!$B$41="Valid untuk hitung",'Gelombang'!H9="Valid untuk hitung",ISNUMBER(J8),ISNUMBER(K8),ISNUMBER(Q8)),L9*'Input'!$B$11,"n.a.")</x:f>
        <x:v>1.2857142857142858</x:v>
      </x:c>
      <x:c r="O9" s="14" t="n">
        <x:f>IF(AND('Input'!$B$41="Valid untuk hitung",'Gelombang'!H9="Valid untuk hitung",ISNUMBER(J8),ISNUMBER(K8),ISNUMBER(Q8)),IF('Input'!$B$12=0,P8+N9,MIN(P8+N9,('Gelombang'!E9*'Input'!$B$15-'Gelombang'!G9)*60*'Input'!$B$13/'Input'!$B$12)),"n.a.")</x:f>
        <x:v>1.2857142857142858</x:v>
      </x:c>
      <x:c r="P9" s="14" t="n">
        <x:f>IF(AND('Input'!$B$41="Valid untuk hitung",'Gelombang'!H9="Valid untuk hitung",ISNUMBER(J8),ISNUMBER(K8),ISNUMBER(Q8)),P8+N9-O9,"n.a.")</x:f>
        <x:v>0</x:v>
      </x:c>
      <x:c r="Q9" s="14" t="n">
        <x:f>IF(AND('Input'!$B$41="Valid untuk hitung",'Gelombang'!H9="Valid untuk hitung",ISNUMBER(J8),ISNUMBER(K8),ISNUMBER(Q8)),M9+P9,"n.a.")</x:f>
        <x:v>0</x:v>
      </x:c>
    </x:row>
    <x:row r="10" ht="24" customHeight="1">
      <x:c r="A10" s="13" t="str">
        <x:f>TEXT('Gelombang'!A10+'Input'!$B$15/1440,"hh:mm")</x:f>
        <x:v>10:45</x:v>
      </x:c>
      <x:c r="B10" s="14" t="n">
        <x:f>'Gelombang'!B10</x:f>
        <x:v>25.714285714285715</x:v>
      </x:c>
      <x:c r="C10" s="14" t="n">
        <x:f>IF(AND('Input'!$B$41="Valid untuk hitung",'Gelombang'!H10="Valid untuk hitung",ISNUMBER(J9),ISNUMBER(K9),ISNUMBER(Q9)),MAX('Gelombang'!C10-1,0),"n.a.")</x:f>
        <x:v>5</x:v>
      </x:c>
      <x:c r="D10" s="14" t="n">
        <x:f>IF(AND('Input'!$B$41="Valid untuk hitung",'Gelombang'!H10="Valid untuk hitung",ISNUMBER(J9),ISNUMBER(K9),ISNUMBER(Q9)),MIN('Gelombang'!C10,1),"n.a.")</x:f>
        <x:v>1</x:v>
      </x:c>
      <x:c r="E10" s="14" t="n">
        <x:f>IF(AND('Input'!$B$41="Valid untuk hitung",'Gelombang'!H10="Valid untuk hitung",ISNUMBER(J9),ISNUMBER(K9),ISNUMBER(Q9)),MIN(F9+B10,C10*'Input'!$B$15*60*'Input'!$B$13/'Input'!$B$10),"n.a.")</x:f>
        <x:v>25.714285714285715</x:v>
      </x:c>
      <x:c r="F10" s="14" t="n">
        <x:f>IF(AND('Input'!$B$41="Valid untuk hitung",'Gelombang'!H10="Valid untuk hitung",ISNUMBER(J9),ISNUMBER(K9),ISNUMBER(Q9)),F9+B10-E10,"n.a.")</x:f>
        <x:v>0</x:v>
      </x:c>
      <x:c r="G10" s="14" t="n">
        <x:f>IF(AND('Input'!$B$41="Valid untuk hitung",'Gelombang'!H10="Valid untuk hitung",ISNUMBER(J9),ISNUMBER(K9),ISNUMBER(Q9)),E10*'Input'!$B$11,"n.a.")</x:f>
        <x:v>1.2857142857142858</x:v>
      </x:c>
      <x:c r="H10" s="14" t="n">
        <x:f>IF(AND('Input'!$B$41="Valid untuk hitung",'Gelombang'!H10="Valid untuk hitung",ISNUMBER(J9),ISNUMBER(K9),ISNUMBER(Q9)),IF('Input'!$B$12=0,I9+G10,MIN(I9+G10,D10*'Input'!$B$15*60*'Input'!$B$13/'Input'!$B$12)),"n.a.")</x:f>
        <x:v>1.2857142857142858</x:v>
      </x:c>
      <x:c r="I10" s="14" t="n">
        <x:f>IF(AND('Input'!$B$41="Valid untuk hitung",'Gelombang'!H10="Valid untuk hitung",ISNUMBER(J9),ISNUMBER(K9),ISNUMBER(Q9)),I9+G10-H10,"n.a.")</x:f>
        <x:v>0</x:v>
      </x:c>
      <x:c r="J10" s="14" t="n">
        <x:f>IF(AND('Input'!$B$41="Valid untuk hitung",'Gelombang'!H10="Valid untuk hitung",ISNUMBER(J9),ISNUMBER(K9),ISNUMBER(Q9)),F10+I10,"n.a.")</x:f>
        <x:v>0</x:v>
      </x:c>
      <x:c r="K10" s="14" t="n">
        <x:f>IF(AND('Input'!$B$41="Valid untuk hitung",'Gelombang'!H10="Valid untuk hitung",ISNUMBER(J9),ISNUMBER(K9),ISNUMBER(Q9)),MAX(0,K9+B10-'Gelombang'!C10*'Input'!$B$15*60*'Input'!$B$13/('Input'!$B$10+'Input'!$B$11*'Input'!$B$12)),"n.a.")</x:f>
        <x:v>0</x:v>
      </x:c>
      <x:c r="L10" s="14" t="n">
        <x:f>IF(AND('Input'!$B$41="Valid untuk hitung",'Gelombang'!H10="Valid untuk hitung",ISNUMBER(J9),ISNUMBER(K9),ISNUMBER(Q9)),MIN(M9+B10,('Gelombang'!D10*'Input'!$B$15-'Gelombang'!F10)*60*'Input'!$B$13/'Input'!$B$10),"n.a.")</x:f>
        <x:v>25.714285714285715</x:v>
      </x:c>
      <x:c r="M10" s="14" t="n">
        <x:f>IF(AND('Input'!$B$41="Valid untuk hitung",'Gelombang'!H10="Valid untuk hitung",ISNUMBER(J9),ISNUMBER(K9),ISNUMBER(Q9)),M9+B10-L10,"n.a.")</x:f>
        <x:v>0</x:v>
      </x:c>
      <x:c r="N10" s="14" t="n">
        <x:f>IF(AND('Input'!$B$41="Valid untuk hitung",'Gelombang'!H10="Valid untuk hitung",ISNUMBER(J9),ISNUMBER(K9),ISNUMBER(Q9)),L10*'Input'!$B$11,"n.a.")</x:f>
        <x:v>1.2857142857142858</x:v>
      </x:c>
      <x:c r="O10" s="14" t="n">
        <x:f>IF(AND('Input'!$B$41="Valid untuk hitung",'Gelombang'!H10="Valid untuk hitung",ISNUMBER(J9),ISNUMBER(K9),ISNUMBER(Q9)),IF('Input'!$B$12=0,P9+N10,MIN(P9+N10,('Gelombang'!E10*'Input'!$B$15-'Gelombang'!G10)*60*'Input'!$B$13/'Input'!$B$12)),"n.a.")</x:f>
        <x:v>1.2857142857142858</x:v>
      </x:c>
      <x:c r="P10" s="14" t="n">
        <x:f>IF(AND('Input'!$B$41="Valid untuk hitung",'Gelombang'!H10="Valid untuk hitung",ISNUMBER(J9),ISNUMBER(K9),ISNUMBER(Q9)),P9+N10-O10,"n.a.")</x:f>
        <x:v>0</x:v>
      </x:c>
      <x:c r="Q10" s="14" t="n">
        <x:f>IF(AND('Input'!$B$41="Valid untuk hitung",'Gelombang'!H10="Valid untuk hitung",ISNUMBER(J9),ISNUMBER(K9),ISNUMBER(Q9)),M10+P10,"n.a.")</x:f>
        <x:v>0</x:v>
      </x:c>
    </x:row>
    <x:row r="11" ht="24" customHeight="1">
      <x:c r="A11" s="13" t="str">
        <x:f>TEXT('Gelombang'!A11+'Input'!$B$15/1440,"hh:mm")</x:f>
        <x:v>11:00</x:v>
      </x:c>
      <x:c r="B11" s="14" t="n">
        <x:f>'Gelombang'!B11</x:f>
        <x:v>25.714285714285715</x:v>
      </x:c>
      <x:c r="C11" s="14" t="n">
        <x:f>IF(AND('Input'!$B$41="Valid untuk hitung",'Gelombang'!H11="Valid untuk hitung",ISNUMBER(J10),ISNUMBER(K10),ISNUMBER(Q10)),MAX('Gelombang'!C11-1,0),"n.a.")</x:f>
        <x:v>5</x:v>
      </x:c>
      <x:c r="D11" s="14" t="n">
        <x:f>IF(AND('Input'!$B$41="Valid untuk hitung",'Gelombang'!H11="Valid untuk hitung",ISNUMBER(J10),ISNUMBER(K10),ISNUMBER(Q10)),MIN('Gelombang'!C11,1),"n.a.")</x:f>
        <x:v>1</x:v>
      </x:c>
      <x:c r="E11" s="14" t="n">
        <x:f>IF(AND('Input'!$B$41="Valid untuk hitung",'Gelombang'!H11="Valid untuk hitung",ISNUMBER(J10),ISNUMBER(K10),ISNUMBER(Q10)),MIN(F10+B11,C11*'Input'!$B$15*60*'Input'!$B$13/'Input'!$B$10),"n.a.")</x:f>
        <x:v>25.714285714285715</x:v>
      </x:c>
      <x:c r="F11" s="14" t="n">
        <x:f>IF(AND('Input'!$B$41="Valid untuk hitung",'Gelombang'!H11="Valid untuk hitung",ISNUMBER(J10),ISNUMBER(K10),ISNUMBER(Q10)),F10+B11-E11,"n.a.")</x:f>
        <x:v>0</x:v>
      </x:c>
      <x:c r="G11" s="14" t="n">
        <x:f>IF(AND('Input'!$B$41="Valid untuk hitung",'Gelombang'!H11="Valid untuk hitung",ISNUMBER(J10),ISNUMBER(K10),ISNUMBER(Q10)),E11*'Input'!$B$11,"n.a.")</x:f>
        <x:v>1.2857142857142858</x:v>
      </x:c>
      <x:c r="H11" s="14" t="n">
        <x:f>IF(AND('Input'!$B$41="Valid untuk hitung",'Gelombang'!H11="Valid untuk hitung",ISNUMBER(J10),ISNUMBER(K10),ISNUMBER(Q10)),IF('Input'!$B$12=0,I10+G11,MIN(I10+G11,D11*'Input'!$B$15*60*'Input'!$B$13/'Input'!$B$12)),"n.a.")</x:f>
        <x:v>1.2857142857142858</x:v>
      </x:c>
      <x:c r="I11" s="14" t="n">
        <x:f>IF(AND('Input'!$B$41="Valid untuk hitung",'Gelombang'!H11="Valid untuk hitung",ISNUMBER(J10),ISNUMBER(K10),ISNUMBER(Q10)),I10+G11-H11,"n.a.")</x:f>
        <x:v>0</x:v>
      </x:c>
      <x:c r="J11" s="14" t="n">
        <x:f>IF(AND('Input'!$B$41="Valid untuk hitung",'Gelombang'!H11="Valid untuk hitung",ISNUMBER(J10),ISNUMBER(K10),ISNUMBER(Q10)),F11+I11,"n.a.")</x:f>
        <x:v>0</x:v>
      </x:c>
      <x:c r="K11" s="14" t="n">
        <x:f>IF(AND('Input'!$B$41="Valid untuk hitung",'Gelombang'!H11="Valid untuk hitung",ISNUMBER(J10),ISNUMBER(K10),ISNUMBER(Q10)),MAX(0,K10+B11-'Gelombang'!C11*'Input'!$B$15*60*'Input'!$B$13/('Input'!$B$10+'Input'!$B$11*'Input'!$B$12)),"n.a.")</x:f>
        <x:v>0</x:v>
      </x:c>
      <x:c r="L11" s="14" t="n">
        <x:f>IF(AND('Input'!$B$41="Valid untuk hitung",'Gelombang'!H11="Valid untuk hitung",ISNUMBER(J10),ISNUMBER(K10),ISNUMBER(Q10)),MIN(M10+B11,('Gelombang'!D11*'Input'!$B$15-'Gelombang'!F11)*60*'Input'!$B$13/'Input'!$B$10),"n.a.")</x:f>
        <x:v>25.714285714285715</x:v>
      </x:c>
      <x:c r="M11" s="14" t="n">
        <x:f>IF(AND('Input'!$B$41="Valid untuk hitung",'Gelombang'!H11="Valid untuk hitung",ISNUMBER(J10),ISNUMBER(K10),ISNUMBER(Q10)),M10+B11-L11,"n.a.")</x:f>
        <x:v>0</x:v>
      </x:c>
      <x:c r="N11" s="14" t="n">
        <x:f>IF(AND('Input'!$B$41="Valid untuk hitung",'Gelombang'!H11="Valid untuk hitung",ISNUMBER(J10),ISNUMBER(K10),ISNUMBER(Q10)),L11*'Input'!$B$11,"n.a.")</x:f>
        <x:v>1.2857142857142858</x:v>
      </x:c>
      <x:c r="O11" s="14" t="n">
        <x:f>IF(AND('Input'!$B$41="Valid untuk hitung",'Gelombang'!H11="Valid untuk hitung",ISNUMBER(J10),ISNUMBER(K10),ISNUMBER(Q10)),IF('Input'!$B$12=0,P10+N11,MIN(P10+N11,('Gelombang'!E11*'Input'!$B$15-'Gelombang'!G11)*60*'Input'!$B$13/'Input'!$B$12)),"n.a.")</x:f>
        <x:v>1.2857142857142858</x:v>
      </x:c>
      <x:c r="P11" s="14" t="n">
        <x:f>IF(AND('Input'!$B$41="Valid untuk hitung",'Gelombang'!H11="Valid untuk hitung",ISNUMBER(J10),ISNUMBER(K10),ISNUMBER(Q10)),P10+N11-O11,"n.a.")</x:f>
        <x:v>0</x:v>
      </x:c>
      <x:c r="Q11" s="14" t="n">
        <x:f>IF(AND('Input'!$B$41="Valid untuk hitung",'Gelombang'!H11="Valid untuk hitung",ISNUMBER(J10),ISNUMBER(K10),ISNUMBER(Q10)),M11+P11,"n.a.")</x:f>
        <x:v>0</x:v>
      </x:c>
    </x:row>
    <x:row r="12" ht="24" customHeight="1">
      <x:c r="A12" s="13" t="str">
        <x:f>TEXT('Gelombang'!A12+'Input'!$B$15/1440,"hh:mm")</x:f>
        <x:v>11:15</x:v>
      </x:c>
      <x:c r="B12" s="14" t="n">
        <x:f>'Gelombang'!B12</x:f>
        <x:v>25.714285714285715</x:v>
      </x:c>
      <x:c r="C12" s="14" t="n">
        <x:f>IF(AND('Input'!$B$41="Valid untuk hitung",'Gelombang'!H12="Valid untuk hitung",ISNUMBER(J11),ISNUMBER(K11),ISNUMBER(Q11)),MAX('Gelombang'!C12-1,0),"n.a.")</x:f>
        <x:v>5</x:v>
      </x:c>
      <x:c r="D12" s="14" t="n">
        <x:f>IF(AND('Input'!$B$41="Valid untuk hitung",'Gelombang'!H12="Valid untuk hitung",ISNUMBER(J11),ISNUMBER(K11),ISNUMBER(Q11)),MIN('Gelombang'!C12,1),"n.a.")</x:f>
        <x:v>1</x:v>
      </x:c>
      <x:c r="E12" s="14" t="n">
        <x:f>IF(AND('Input'!$B$41="Valid untuk hitung",'Gelombang'!H12="Valid untuk hitung",ISNUMBER(J11),ISNUMBER(K11),ISNUMBER(Q11)),MIN(F11+B12,C12*'Input'!$B$15*60*'Input'!$B$13/'Input'!$B$10),"n.a.")</x:f>
        <x:v>25.714285714285715</x:v>
      </x:c>
      <x:c r="F12" s="14" t="n">
        <x:f>IF(AND('Input'!$B$41="Valid untuk hitung",'Gelombang'!H12="Valid untuk hitung",ISNUMBER(J11),ISNUMBER(K11),ISNUMBER(Q11)),F11+B12-E12,"n.a.")</x:f>
        <x:v>0</x:v>
      </x:c>
      <x:c r="G12" s="14" t="n">
        <x:f>IF(AND('Input'!$B$41="Valid untuk hitung",'Gelombang'!H12="Valid untuk hitung",ISNUMBER(J11),ISNUMBER(K11),ISNUMBER(Q11)),E12*'Input'!$B$11,"n.a.")</x:f>
        <x:v>1.2857142857142858</x:v>
      </x:c>
      <x:c r="H12" s="14" t="n">
        <x:f>IF(AND('Input'!$B$41="Valid untuk hitung",'Gelombang'!H12="Valid untuk hitung",ISNUMBER(J11),ISNUMBER(K11),ISNUMBER(Q11)),IF('Input'!$B$12=0,I11+G12,MIN(I11+G12,D12*'Input'!$B$15*60*'Input'!$B$13/'Input'!$B$12)),"n.a.")</x:f>
        <x:v>1.2857142857142858</x:v>
      </x:c>
      <x:c r="I12" s="14" t="n">
        <x:f>IF(AND('Input'!$B$41="Valid untuk hitung",'Gelombang'!H12="Valid untuk hitung",ISNUMBER(J11),ISNUMBER(K11),ISNUMBER(Q11)),I11+G12-H12,"n.a.")</x:f>
        <x:v>0</x:v>
      </x:c>
      <x:c r="J12" s="14" t="n">
        <x:f>IF(AND('Input'!$B$41="Valid untuk hitung",'Gelombang'!H12="Valid untuk hitung",ISNUMBER(J11),ISNUMBER(K11),ISNUMBER(Q11)),F12+I12,"n.a.")</x:f>
        <x:v>0</x:v>
      </x:c>
      <x:c r="K12" s="14" t="n">
        <x:f>IF(AND('Input'!$B$41="Valid untuk hitung",'Gelombang'!H12="Valid untuk hitung",ISNUMBER(J11),ISNUMBER(K11),ISNUMBER(Q11)),MAX(0,K11+B12-'Gelombang'!C12*'Input'!$B$15*60*'Input'!$B$13/('Input'!$B$10+'Input'!$B$11*'Input'!$B$12)),"n.a.")</x:f>
        <x:v>0</x:v>
      </x:c>
      <x:c r="L12" s="14" t="n">
        <x:f>IF(AND('Input'!$B$41="Valid untuk hitung",'Gelombang'!H12="Valid untuk hitung",ISNUMBER(J11),ISNUMBER(K11),ISNUMBER(Q11)),MIN(M11+B12,('Gelombang'!D12*'Input'!$B$15-'Gelombang'!F12)*60*'Input'!$B$13/'Input'!$B$10),"n.a.")</x:f>
        <x:v>25.714285714285715</x:v>
      </x:c>
      <x:c r="M12" s="14" t="n">
        <x:f>IF(AND('Input'!$B$41="Valid untuk hitung",'Gelombang'!H12="Valid untuk hitung",ISNUMBER(J11),ISNUMBER(K11),ISNUMBER(Q11)),M11+B12-L12,"n.a.")</x:f>
        <x:v>0</x:v>
      </x:c>
      <x:c r="N12" s="14" t="n">
        <x:f>IF(AND('Input'!$B$41="Valid untuk hitung",'Gelombang'!H12="Valid untuk hitung",ISNUMBER(J11),ISNUMBER(K11),ISNUMBER(Q11)),L12*'Input'!$B$11,"n.a.")</x:f>
        <x:v>1.2857142857142858</x:v>
      </x:c>
      <x:c r="O12" s="14" t="n">
        <x:f>IF(AND('Input'!$B$41="Valid untuk hitung",'Gelombang'!H12="Valid untuk hitung",ISNUMBER(J11),ISNUMBER(K11),ISNUMBER(Q11)),IF('Input'!$B$12=0,P11+N12,MIN(P11+N12,('Gelombang'!E12*'Input'!$B$15-'Gelombang'!G12)*60*'Input'!$B$13/'Input'!$B$12)),"n.a.")</x:f>
        <x:v>1.2857142857142858</x:v>
      </x:c>
      <x:c r="P12" s="14" t="n">
        <x:f>IF(AND('Input'!$B$41="Valid untuk hitung",'Gelombang'!H12="Valid untuk hitung",ISNUMBER(J11),ISNUMBER(K11),ISNUMBER(Q11)),P11+N12-O12,"n.a.")</x:f>
        <x:v>0</x:v>
      </x:c>
      <x:c r="Q12" s="14" t="n">
        <x:f>IF(AND('Input'!$B$41="Valid untuk hitung",'Gelombang'!H12="Valid untuk hitung",ISNUMBER(J11),ISNUMBER(K11),ISNUMBER(Q11)),M12+P12,"n.a.")</x:f>
        <x:v>0</x:v>
      </x:c>
    </x:row>
    <x:row r="13" ht="24" customHeight="1">
      <x:c r="A13" s="13" t="str">
        <x:f>TEXT('Gelombang'!A13+'Input'!$B$15/1440,"hh:mm")</x:f>
        <x:v>11:30</x:v>
      </x:c>
      <x:c r="B13" s="14" t="n">
        <x:f>'Gelombang'!B13</x:f>
        <x:v>25.714285714285715</x:v>
      </x:c>
      <x:c r="C13" s="14" t="n">
        <x:f>IF(AND('Input'!$B$41="Valid untuk hitung",'Gelombang'!H13="Valid untuk hitung",ISNUMBER(J12),ISNUMBER(K12),ISNUMBER(Q12)),MAX('Gelombang'!C13-1,0),"n.a.")</x:f>
        <x:v>5</x:v>
      </x:c>
      <x:c r="D13" s="14" t="n">
        <x:f>IF(AND('Input'!$B$41="Valid untuk hitung",'Gelombang'!H13="Valid untuk hitung",ISNUMBER(J12),ISNUMBER(K12),ISNUMBER(Q12)),MIN('Gelombang'!C13,1),"n.a.")</x:f>
        <x:v>1</x:v>
      </x:c>
      <x:c r="E13" s="14" t="n">
        <x:f>IF(AND('Input'!$B$41="Valid untuk hitung",'Gelombang'!H13="Valid untuk hitung",ISNUMBER(J12),ISNUMBER(K12),ISNUMBER(Q12)),MIN(F12+B13,C13*'Input'!$B$15*60*'Input'!$B$13/'Input'!$B$10),"n.a.")</x:f>
        <x:v>25.714285714285715</x:v>
      </x:c>
      <x:c r="F13" s="14" t="n">
        <x:f>IF(AND('Input'!$B$41="Valid untuk hitung",'Gelombang'!H13="Valid untuk hitung",ISNUMBER(J12),ISNUMBER(K12),ISNUMBER(Q12)),F12+B13-E13,"n.a.")</x:f>
        <x:v>0</x:v>
      </x:c>
      <x:c r="G13" s="14" t="n">
        <x:f>IF(AND('Input'!$B$41="Valid untuk hitung",'Gelombang'!H13="Valid untuk hitung",ISNUMBER(J12),ISNUMBER(K12),ISNUMBER(Q12)),E13*'Input'!$B$11,"n.a.")</x:f>
        <x:v>1.2857142857142858</x:v>
      </x:c>
      <x:c r="H13" s="14" t="n">
        <x:f>IF(AND('Input'!$B$41="Valid untuk hitung",'Gelombang'!H13="Valid untuk hitung",ISNUMBER(J12),ISNUMBER(K12),ISNUMBER(Q12)),IF('Input'!$B$12=0,I12+G13,MIN(I12+G13,D13*'Input'!$B$15*60*'Input'!$B$13/'Input'!$B$12)),"n.a.")</x:f>
        <x:v>1.2857142857142858</x:v>
      </x:c>
      <x:c r="I13" s="14" t="n">
        <x:f>IF(AND('Input'!$B$41="Valid untuk hitung",'Gelombang'!H13="Valid untuk hitung",ISNUMBER(J12),ISNUMBER(K12),ISNUMBER(Q12)),I12+G13-H13,"n.a.")</x:f>
        <x:v>0</x:v>
      </x:c>
      <x:c r="J13" s="14" t="n">
        <x:f>IF(AND('Input'!$B$41="Valid untuk hitung",'Gelombang'!H13="Valid untuk hitung",ISNUMBER(J12),ISNUMBER(K12),ISNUMBER(Q12)),F13+I13,"n.a.")</x:f>
        <x:v>0</x:v>
      </x:c>
      <x:c r="K13" s="14" t="n">
        <x:f>IF(AND('Input'!$B$41="Valid untuk hitung",'Gelombang'!H13="Valid untuk hitung",ISNUMBER(J12),ISNUMBER(K12),ISNUMBER(Q12)),MAX(0,K12+B13-'Gelombang'!C13*'Input'!$B$15*60*'Input'!$B$13/('Input'!$B$10+'Input'!$B$11*'Input'!$B$12)),"n.a.")</x:f>
        <x:v>0</x:v>
      </x:c>
      <x:c r="L13" s="14" t="n">
        <x:f>IF(AND('Input'!$B$41="Valid untuk hitung",'Gelombang'!H13="Valid untuk hitung",ISNUMBER(J12),ISNUMBER(K12),ISNUMBER(Q12)),MIN(M12+B13,('Gelombang'!D13*'Input'!$B$15-'Gelombang'!F13)*60*'Input'!$B$13/'Input'!$B$10),"n.a.")</x:f>
        <x:v>25.714285714285715</x:v>
      </x:c>
      <x:c r="M13" s="14" t="n">
        <x:f>IF(AND('Input'!$B$41="Valid untuk hitung",'Gelombang'!H13="Valid untuk hitung",ISNUMBER(J12),ISNUMBER(K12),ISNUMBER(Q12)),M12+B13-L13,"n.a.")</x:f>
        <x:v>0</x:v>
      </x:c>
      <x:c r="N13" s="14" t="n">
        <x:f>IF(AND('Input'!$B$41="Valid untuk hitung",'Gelombang'!H13="Valid untuk hitung",ISNUMBER(J12),ISNUMBER(K12),ISNUMBER(Q12)),L13*'Input'!$B$11,"n.a.")</x:f>
        <x:v>1.2857142857142858</x:v>
      </x:c>
      <x:c r="O13" s="14" t="n">
        <x:f>IF(AND('Input'!$B$41="Valid untuk hitung",'Gelombang'!H13="Valid untuk hitung",ISNUMBER(J12),ISNUMBER(K12),ISNUMBER(Q12)),IF('Input'!$B$12=0,P12+N13,MIN(P12+N13,('Gelombang'!E13*'Input'!$B$15-'Gelombang'!G13)*60*'Input'!$B$13/'Input'!$B$12)),"n.a.")</x:f>
        <x:v>1.2857142857142858</x:v>
      </x:c>
      <x:c r="P13" s="14" t="n">
        <x:f>IF(AND('Input'!$B$41="Valid untuk hitung",'Gelombang'!H13="Valid untuk hitung",ISNUMBER(J12),ISNUMBER(K12),ISNUMBER(Q12)),P12+N13-O13,"n.a.")</x:f>
        <x:v>0</x:v>
      </x:c>
      <x:c r="Q13" s="14" t="n">
        <x:f>IF(AND('Input'!$B$41="Valid untuk hitung",'Gelombang'!H13="Valid untuk hitung",ISNUMBER(J12),ISNUMBER(K12),ISNUMBER(Q12)),M13+P13,"n.a.")</x:f>
        <x:v>0</x:v>
      </x:c>
    </x:row>
    <x:row r="14" ht="24" customHeight="1">
      <x:c r="A14" s="13" t="str">
        <x:f>TEXT('Gelombang'!A14+'Input'!$B$15/1440,"hh:mm")</x:f>
        <x:v>11:45</x:v>
      </x:c>
      <x:c r="B14" s="14" t="n">
        <x:f>'Gelombang'!B14</x:f>
        <x:v>25.714285714285715</x:v>
      </x:c>
      <x:c r="C14" s="14" t="n">
        <x:f>IF(AND('Input'!$B$41="Valid untuk hitung",'Gelombang'!H14="Valid untuk hitung",ISNUMBER(J13),ISNUMBER(K13),ISNUMBER(Q13)),MAX('Gelombang'!C14-1,0),"n.a.")</x:f>
        <x:v>5</x:v>
      </x:c>
      <x:c r="D14" s="14" t="n">
        <x:f>IF(AND('Input'!$B$41="Valid untuk hitung",'Gelombang'!H14="Valid untuk hitung",ISNUMBER(J13),ISNUMBER(K13),ISNUMBER(Q13)),MIN('Gelombang'!C14,1),"n.a.")</x:f>
        <x:v>1</x:v>
      </x:c>
      <x:c r="E14" s="14" t="n">
        <x:f>IF(AND('Input'!$B$41="Valid untuk hitung",'Gelombang'!H14="Valid untuk hitung",ISNUMBER(J13),ISNUMBER(K13),ISNUMBER(Q13)),MIN(F13+B14,C14*'Input'!$B$15*60*'Input'!$B$13/'Input'!$B$10),"n.a.")</x:f>
        <x:v>25.714285714285715</x:v>
      </x:c>
      <x:c r="F14" s="14" t="n">
        <x:f>IF(AND('Input'!$B$41="Valid untuk hitung",'Gelombang'!H14="Valid untuk hitung",ISNUMBER(J13),ISNUMBER(K13),ISNUMBER(Q13)),F13+B14-E14,"n.a.")</x:f>
        <x:v>0</x:v>
      </x:c>
      <x:c r="G14" s="14" t="n">
        <x:f>IF(AND('Input'!$B$41="Valid untuk hitung",'Gelombang'!H14="Valid untuk hitung",ISNUMBER(J13),ISNUMBER(K13),ISNUMBER(Q13)),E14*'Input'!$B$11,"n.a.")</x:f>
        <x:v>1.2857142857142858</x:v>
      </x:c>
      <x:c r="H14" s="14" t="n">
        <x:f>IF(AND('Input'!$B$41="Valid untuk hitung",'Gelombang'!H14="Valid untuk hitung",ISNUMBER(J13),ISNUMBER(K13),ISNUMBER(Q13)),IF('Input'!$B$12=0,I13+G14,MIN(I13+G14,D14*'Input'!$B$15*60*'Input'!$B$13/'Input'!$B$12)),"n.a.")</x:f>
        <x:v>1.2857142857142858</x:v>
      </x:c>
      <x:c r="I14" s="14" t="n">
        <x:f>IF(AND('Input'!$B$41="Valid untuk hitung",'Gelombang'!H14="Valid untuk hitung",ISNUMBER(J13),ISNUMBER(K13),ISNUMBER(Q13)),I13+G14-H14,"n.a.")</x:f>
        <x:v>0</x:v>
      </x:c>
      <x:c r="J14" s="14" t="n">
        <x:f>IF(AND('Input'!$B$41="Valid untuk hitung",'Gelombang'!H14="Valid untuk hitung",ISNUMBER(J13),ISNUMBER(K13),ISNUMBER(Q13)),F14+I14,"n.a.")</x:f>
        <x:v>0</x:v>
      </x:c>
      <x:c r="K14" s="14" t="n">
        <x:f>IF(AND('Input'!$B$41="Valid untuk hitung",'Gelombang'!H14="Valid untuk hitung",ISNUMBER(J13),ISNUMBER(K13),ISNUMBER(Q13)),MAX(0,K13+B14-'Gelombang'!C14*'Input'!$B$15*60*'Input'!$B$13/('Input'!$B$10+'Input'!$B$11*'Input'!$B$12)),"n.a.")</x:f>
        <x:v>0</x:v>
      </x:c>
      <x:c r="L14" s="14" t="n">
        <x:f>IF(AND('Input'!$B$41="Valid untuk hitung",'Gelombang'!H14="Valid untuk hitung",ISNUMBER(J13),ISNUMBER(K13),ISNUMBER(Q13)),MIN(M13+B14,('Gelombang'!D14*'Input'!$B$15-'Gelombang'!F14)*60*'Input'!$B$13/'Input'!$B$10),"n.a.")</x:f>
        <x:v>25.714285714285715</x:v>
      </x:c>
      <x:c r="M14" s="14" t="n">
        <x:f>IF(AND('Input'!$B$41="Valid untuk hitung",'Gelombang'!H14="Valid untuk hitung",ISNUMBER(J13),ISNUMBER(K13),ISNUMBER(Q13)),M13+B14-L14,"n.a.")</x:f>
        <x:v>0</x:v>
      </x:c>
      <x:c r="N14" s="14" t="n">
        <x:f>IF(AND('Input'!$B$41="Valid untuk hitung",'Gelombang'!H14="Valid untuk hitung",ISNUMBER(J13),ISNUMBER(K13),ISNUMBER(Q13)),L14*'Input'!$B$11,"n.a.")</x:f>
        <x:v>1.2857142857142858</x:v>
      </x:c>
      <x:c r="O14" s="14" t="n">
        <x:f>IF(AND('Input'!$B$41="Valid untuk hitung",'Gelombang'!H14="Valid untuk hitung",ISNUMBER(J13),ISNUMBER(K13),ISNUMBER(Q13)),IF('Input'!$B$12=0,P13+N14,MIN(P13+N14,('Gelombang'!E14*'Input'!$B$15-'Gelombang'!G14)*60*'Input'!$B$13/'Input'!$B$12)),"n.a.")</x:f>
        <x:v>1.2857142857142858</x:v>
      </x:c>
      <x:c r="P14" s="14" t="n">
        <x:f>IF(AND('Input'!$B$41="Valid untuk hitung",'Gelombang'!H14="Valid untuk hitung",ISNUMBER(J13),ISNUMBER(K13),ISNUMBER(Q13)),P13+N14-O14,"n.a.")</x:f>
        <x:v>0</x:v>
      </x:c>
      <x:c r="Q14" s="14" t="n">
        <x:f>IF(AND('Input'!$B$41="Valid untuk hitung",'Gelombang'!H14="Valid untuk hitung",ISNUMBER(J13),ISNUMBER(K13),ISNUMBER(Q13)),M14+P14,"n.a.")</x:f>
        <x:v>0</x:v>
      </x:c>
    </x:row>
    <x:row r="15" ht="24" customHeight="1">
      <x:c r="A15" s="13" t="str">
        <x:f>TEXT('Gelombang'!A15+'Input'!$B$15/1440,"hh:mm")</x:f>
        <x:v>12:00</x:v>
      </x:c>
      <x:c r="B15" s="14" t="n">
        <x:f>'Gelombang'!B15</x:f>
        <x:v>25.714285714285715</x:v>
      </x:c>
      <x:c r="C15" s="14" t="n">
        <x:f>IF(AND('Input'!$B$41="Valid untuk hitung",'Gelombang'!H15="Valid untuk hitung",ISNUMBER(J14),ISNUMBER(K14),ISNUMBER(Q14)),MAX('Gelombang'!C15-1,0),"n.a.")</x:f>
        <x:v>5</x:v>
      </x:c>
      <x:c r="D15" s="14" t="n">
        <x:f>IF(AND('Input'!$B$41="Valid untuk hitung",'Gelombang'!H15="Valid untuk hitung",ISNUMBER(J14),ISNUMBER(K14),ISNUMBER(Q14)),MIN('Gelombang'!C15,1),"n.a.")</x:f>
        <x:v>1</x:v>
      </x:c>
      <x:c r="E15" s="14" t="n">
        <x:f>IF(AND('Input'!$B$41="Valid untuk hitung",'Gelombang'!H15="Valid untuk hitung",ISNUMBER(J14),ISNUMBER(K14),ISNUMBER(Q14)),MIN(F14+B15,C15*'Input'!$B$15*60*'Input'!$B$13/'Input'!$B$10),"n.a.")</x:f>
        <x:v>25.714285714285715</x:v>
      </x:c>
      <x:c r="F15" s="14" t="n">
        <x:f>IF(AND('Input'!$B$41="Valid untuk hitung",'Gelombang'!H15="Valid untuk hitung",ISNUMBER(J14),ISNUMBER(K14),ISNUMBER(Q14)),F14+B15-E15,"n.a.")</x:f>
        <x:v>0</x:v>
      </x:c>
      <x:c r="G15" s="14" t="n">
        <x:f>IF(AND('Input'!$B$41="Valid untuk hitung",'Gelombang'!H15="Valid untuk hitung",ISNUMBER(J14),ISNUMBER(K14),ISNUMBER(Q14)),E15*'Input'!$B$11,"n.a.")</x:f>
        <x:v>1.2857142857142858</x:v>
      </x:c>
      <x:c r="H15" s="14" t="n">
        <x:f>IF(AND('Input'!$B$41="Valid untuk hitung",'Gelombang'!H15="Valid untuk hitung",ISNUMBER(J14),ISNUMBER(K14),ISNUMBER(Q14)),IF('Input'!$B$12=0,I14+G15,MIN(I14+G15,D15*'Input'!$B$15*60*'Input'!$B$13/'Input'!$B$12)),"n.a.")</x:f>
        <x:v>1.2857142857142858</x:v>
      </x:c>
      <x:c r="I15" s="14" t="n">
        <x:f>IF(AND('Input'!$B$41="Valid untuk hitung",'Gelombang'!H15="Valid untuk hitung",ISNUMBER(J14),ISNUMBER(K14),ISNUMBER(Q14)),I14+G15-H15,"n.a.")</x:f>
        <x:v>0</x:v>
      </x:c>
      <x:c r="J15" s="14" t="n">
        <x:f>IF(AND('Input'!$B$41="Valid untuk hitung",'Gelombang'!H15="Valid untuk hitung",ISNUMBER(J14),ISNUMBER(K14),ISNUMBER(Q14)),F15+I15,"n.a.")</x:f>
        <x:v>0</x:v>
      </x:c>
      <x:c r="K15" s="14" t="n">
        <x:f>IF(AND('Input'!$B$41="Valid untuk hitung",'Gelombang'!H15="Valid untuk hitung",ISNUMBER(J14),ISNUMBER(K14),ISNUMBER(Q14)),MAX(0,K14+B15-'Gelombang'!C15*'Input'!$B$15*60*'Input'!$B$13/('Input'!$B$10+'Input'!$B$11*'Input'!$B$12)),"n.a.")</x:f>
        <x:v>0</x:v>
      </x:c>
      <x:c r="L15" s="14" t="n">
        <x:f>IF(AND('Input'!$B$41="Valid untuk hitung",'Gelombang'!H15="Valid untuk hitung",ISNUMBER(J14),ISNUMBER(K14),ISNUMBER(Q14)),MIN(M14+B15,('Gelombang'!D15*'Input'!$B$15-'Gelombang'!F15)*60*'Input'!$B$13/'Input'!$B$10),"n.a.")</x:f>
        <x:v>25.714285714285715</x:v>
      </x:c>
      <x:c r="M15" s="14" t="n">
        <x:f>IF(AND('Input'!$B$41="Valid untuk hitung",'Gelombang'!H15="Valid untuk hitung",ISNUMBER(J14),ISNUMBER(K14),ISNUMBER(Q14)),M14+B15-L15,"n.a.")</x:f>
        <x:v>0</x:v>
      </x:c>
      <x:c r="N15" s="14" t="n">
        <x:f>IF(AND('Input'!$B$41="Valid untuk hitung",'Gelombang'!H15="Valid untuk hitung",ISNUMBER(J14),ISNUMBER(K14),ISNUMBER(Q14)),L15*'Input'!$B$11,"n.a.")</x:f>
        <x:v>1.2857142857142858</x:v>
      </x:c>
      <x:c r="O15" s="14" t="n">
        <x:f>IF(AND('Input'!$B$41="Valid untuk hitung",'Gelombang'!H15="Valid untuk hitung",ISNUMBER(J14),ISNUMBER(K14),ISNUMBER(Q14)),IF('Input'!$B$12=0,P14+N15,MIN(P14+N15,('Gelombang'!E15*'Input'!$B$15-'Gelombang'!G15)*60*'Input'!$B$13/'Input'!$B$12)),"n.a.")</x:f>
        <x:v>1.2857142857142858</x:v>
      </x:c>
      <x:c r="P15" s="14" t="n">
        <x:f>IF(AND('Input'!$B$41="Valid untuk hitung",'Gelombang'!H15="Valid untuk hitung",ISNUMBER(J14),ISNUMBER(K14),ISNUMBER(Q14)),P14+N15-O15,"n.a.")</x:f>
        <x:v>0</x:v>
      </x:c>
      <x:c r="Q15" s="14" t="n">
        <x:f>IF(AND('Input'!$B$41="Valid untuk hitung",'Gelombang'!H15="Valid untuk hitung",ISNUMBER(J14),ISNUMBER(K14),ISNUMBER(Q14)),M15+P15,"n.a.")</x:f>
        <x:v>0</x:v>
      </x:c>
    </x:row>
    <x:row r="16" ht="24" customHeight="1">
      <x:c r="A16" s="13" t="str">
        <x:f>TEXT('Gelombang'!A16+'Input'!$B$15/1440,"hh:mm")</x:f>
        <x:v>12:15</x:v>
      </x:c>
      <x:c r="B16" s="14" t="n">
        <x:f>'Gelombang'!B16</x:f>
        <x:v>25.714285714285715</x:v>
      </x:c>
      <x:c r="C16" s="14" t="n">
        <x:f>IF(AND('Input'!$B$41="Valid untuk hitung",'Gelombang'!H16="Valid untuk hitung",ISNUMBER(J15),ISNUMBER(K15),ISNUMBER(Q15)),MAX('Gelombang'!C16-1,0),"n.a.")</x:f>
        <x:v>5</x:v>
      </x:c>
      <x:c r="D16" s="14" t="n">
        <x:f>IF(AND('Input'!$B$41="Valid untuk hitung",'Gelombang'!H16="Valid untuk hitung",ISNUMBER(J15),ISNUMBER(K15),ISNUMBER(Q15)),MIN('Gelombang'!C16,1),"n.a.")</x:f>
        <x:v>1</x:v>
      </x:c>
      <x:c r="E16" s="14" t="n">
        <x:f>IF(AND('Input'!$B$41="Valid untuk hitung",'Gelombang'!H16="Valid untuk hitung",ISNUMBER(J15),ISNUMBER(K15),ISNUMBER(Q15)),MIN(F15+B16,C16*'Input'!$B$15*60*'Input'!$B$13/'Input'!$B$10),"n.a.")</x:f>
        <x:v>25.714285714285715</x:v>
      </x:c>
      <x:c r="F16" s="14" t="n">
        <x:f>IF(AND('Input'!$B$41="Valid untuk hitung",'Gelombang'!H16="Valid untuk hitung",ISNUMBER(J15),ISNUMBER(K15),ISNUMBER(Q15)),F15+B16-E16,"n.a.")</x:f>
        <x:v>0</x:v>
      </x:c>
      <x:c r="G16" s="14" t="n">
        <x:f>IF(AND('Input'!$B$41="Valid untuk hitung",'Gelombang'!H16="Valid untuk hitung",ISNUMBER(J15),ISNUMBER(K15),ISNUMBER(Q15)),E16*'Input'!$B$11,"n.a.")</x:f>
        <x:v>1.2857142857142858</x:v>
      </x:c>
      <x:c r="H16" s="14" t="n">
        <x:f>IF(AND('Input'!$B$41="Valid untuk hitung",'Gelombang'!H16="Valid untuk hitung",ISNUMBER(J15),ISNUMBER(K15),ISNUMBER(Q15)),IF('Input'!$B$12=0,I15+G16,MIN(I15+G16,D16*'Input'!$B$15*60*'Input'!$B$13/'Input'!$B$12)),"n.a.")</x:f>
        <x:v>1.2857142857142858</x:v>
      </x:c>
      <x:c r="I16" s="14" t="n">
        <x:f>IF(AND('Input'!$B$41="Valid untuk hitung",'Gelombang'!H16="Valid untuk hitung",ISNUMBER(J15),ISNUMBER(K15),ISNUMBER(Q15)),I15+G16-H16,"n.a.")</x:f>
        <x:v>0</x:v>
      </x:c>
      <x:c r="J16" s="14" t="n">
        <x:f>IF(AND('Input'!$B$41="Valid untuk hitung",'Gelombang'!H16="Valid untuk hitung",ISNUMBER(J15),ISNUMBER(K15),ISNUMBER(Q15)),F16+I16,"n.a.")</x:f>
        <x:v>0</x:v>
      </x:c>
      <x:c r="K16" s="14" t="n">
        <x:f>IF(AND('Input'!$B$41="Valid untuk hitung",'Gelombang'!H16="Valid untuk hitung",ISNUMBER(J15),ISNUMBER(K15),ISNUMBER(Q15)),MAX(0,K15+B16-'Gelombang'!C16*'Input'!$B$15*60*'Input'!$B$13/('Input'!$B$10+'Input'!$B$11*'Input'!$B$12)),"n.a.")</x:f>
        <x:v>0</x:v>
      </x:c>
      <x:c r="L16" s="14" t="n">
        <x:f>IF(AND('Input'!$B$41="Valid untuk hitung",'Gelombang'!H16="Valid untuk hitung",ISNUMBER(J15),ISNUMBER(K15),ISNUMBER(Q15)),MIN(M15+B16,('Gelombang'!D16*'Input'!$B$15-'Gelombang'!F16)*60*'Input'!$B$13/'Input'!$B$10),"n.a.")</x:f>
        <x:v>25.714285714285715</x:v>
      </x:c>
      <x:c r="M16" s="14" t="n">
        <x:f>IF(AND('Input'!$B$41="Valid untuk hitung",'Gelombang'!H16="Valid untuk hitung",ISNUMBER(J15),ISNUMBER(K15),ISNUMBER(Q15)),M15+B16-L16,"n.a.")</x:f>
        <x:v>0</x:v>
      </x:c>
      <x:c r="N16" s="14" t="n">
        <x:f>IF(AND('Input'!$B$41="Valid untuk hitung",'Gelombang'!H16="Valid untuk hitung",ISNUMBER(J15),ISNUMBER(K15),ISNUMBER(Q15)),L16*'Input'!$B$11,"n.a.")</x:f>
        <x:v>1.2857142857142858</x:v>
      </x:c>
      <x:c r="O16" s="14" t="n">
        <x:f>IF(AND('Input'!$B$41="Valid untuk hitung",'Gelombang'!H16="Valid untuk hitung",ISNUMBER(J15),ISNUMBER(K15),ISNUMBER(Q15)),IF('Input'!$B$12=0,P15+N16,MIN(P15+N16,('Gelombang'!E16*'Input'!$B$15-'Gelombang'!G16)*60*'Input'!$B$13/'Input'!$B$12)),"n.a.")</x:f>
        <x:v>1.2857142857142858</x:v>
      </x:c>
      <x:c r="P16" s="14" t="n">
        <x:f>IF(AND('Input'!$B$41="Valid untuk hitung",'Gelombang'!H16="Valid untuk hitung",ISNUMBER(J15),ISNUMBER(K15),ISNUMBER(Q15)),P15+N16-O16,"n.a.")</x:f>
        <x:v>0</x:v>
      </x:c>
      <x:c r="Q16" s="14" t="n">
        <x:f>IF(AND('Input'!$B$41="Valid untuk hitung",'Gelombang'!H16="Valid untuk hitung",ISNUMBER(J15),ISNUMBER(K15),ISNUMBER(Q15)),M16+P16,"n.a.")</x:f>
        <x:v>0</x:v>
      </x:c>
    </x:row>
    <x:row r="17" ht="24" customHeight="1">
      <x:c r="A17" s="13" t="str">
        <x:f>TEXT('Gelombang'!A17+'Input'!$B$15/1440,"hh:mm")</x:f>
        <x:v>12:30</x:v>
      </x:c>
      <x:c r="B17" s="14" t="n">
        <x:f>'Gelombang'!B17</x:f>
        <x:v>25.714285714285715</x:v>
      </x:c>
      <x:c r="C17" s="14" t="n">
        <x:f>IF(AND('Input'!$B$41="Valid untuk hitung",'Gelombang'!H17="Valid untuk hitung",ISNUMBER(J16),ISNUMBER(K16),ISNUMBER(Q16)),MAX('Gelombang'!C17-1,0),"n.a.")</x:f>
        <x:v>5</x:v>
      </x:c>
      <x:c r="D17" s="14" t="n">
        <x:f>IF(AND('Input'!$B$41="Valid untuk hitung",'Gelombang'!H17="Valid untuk hitung",ISNUMBER(J16),ISNUMBER(K16),ISNUMBER(Q16)),MIN('Gelombang'!C17,1),"n.a.")</x:f>
        <x:v>1</x:v>
      </x:c>
      <x:c r="E17" s="14" t="n">
        <x:f>IF(AND('Input'!$B$41="Valid untuk hitung",'Gelombang'!H17="Valid untuk hitung",ISNUMBER(J16),ISNUMBER(K16),ISNUMBER(Q16)),MIN(F16+B17,C17*'Input'!$B$15*60*'Input'!$B$13/'Input'!$B$10),"n.a.")</x:f>
        <x:v>25.714285714285715</x:v>
      </x:c>
      <x:c r="F17" s="14" t="n">
        <x:f>IF(AND('Input'!$B$41="Valid untuk hitung",'Gelombang'!H17="Valid untuk hitung",ISNUMBER(J16),ISNUMBER(K16),ISNUMBER(Q16)),F16+B17-E17,"n.a.")</x:f>
        <x:v>0</x:v>
      </x:c>
      <x:c r="G17" s="14" t="n">
        <x:f>IF(AND('Input'!$B$41="Valid untuk hitung",'Gelombang'!H17="Valid untuk hitung",ISNUMBER(J16),ISNUMBER(K16),ISNUMBER(Q16)),E17*'Input'!$B$11,"n.a.")</x:f>
        <x:v>1.2857142857142858</x:v>
      </x:c>
      <x:c r="H17" s="14" t="n">
        <x:f>IF(AND('Input'!$B$41="Valid untuk hitung",'Gelombang'!H17="Valid untuk hitung",ISNUMBER(J16),ISNUMBER(K16),ISNUMBER(Q16)),IF('Input'!$B$12=0,I16+G17,MIN(I16+G17,D17*'Input'!$B$15*60*'Input'!$B$13/'Input'!$B$12)),"n.a.")</x:f>
        <x:v>1.2857142857142858</x:v>
      </x:c>
      <x:c r="I17" s="14" t="n">
        <x:f>IF(AND('Input'!$B$41="Valid untuk hitung",'Gelombang'!H17="Valid untuk hitung",ISNUMBER(J16),ISNUMBER(K16),ISNUMBER(Q16)),I16+G17-H17,"n.a.")</x:f>
        <x:v>0</x:v>
      </x:c>
      <x:c r="J17" s="14" t="n">
        <x:f>IF(AND('Input'!$B$41="Valid untuk hitung",'Gelombang'!H17="Valid untuk hitung",ISNUMBER(J16),ISNUMBER(K16),ISNUMBER(Q16)),F17+I17,"n.a.")</x:f>
        <x:v>0</x:v>
      </x:c>
      <x:c r="K17" s="14" t="n">
        <x:f>IF(AND('Input'!$B$41="Valid untuk hitung",'Gelombang'!H17="Valid untuk hitung",ISNUMBER(J16),ISNUMBER(K16),ISNUMBER(Q16)),MAX(0,K16+B17-'Gelombang'!C17*'Input'!$B$15*60*'Input'!$B$13/('Input'!$B$10+'Input'!$B$11*'Input'!$B$12)),"n.a.")</x:f>
        <x:v>0</x:v>
      </x:c>
      <x:c r="L17" s="14" t="n">
        <x:f>IF(AND('Input'!$B$41="Valid untuk hitung",'Gelombang'!H17="Valid untuk hitung",ISNUMBER(J16),ISNUMBER(K16),ISNUMBER(Q16)),MIN(M16+B17,('Gelombang'!D17*'Input'!$B$15-'Gelombang'!F17)*60*'Input'!$B$13/'Input'!$B$10),"n.a.")</x:f>
        <x:v>25.714285714285715</x:v>
      </x:c>
      <x:c r="M17" s="14" t="n">
        <x:f>IF(AND('Input'!$B$41="Valid untuk hitung",'Gelombang'!H17="Valid untuk hitung",ISNUMBER(J16),ISNUMBER(K16),ISNUMBER(Q16)),M16+B17-L17,"n.a.")</x:f>
        <x:v>0</x:v>
      </x:c>
      <x:c r="N17" s="14" t="n">
        <x:f>IF(AND('Input'!$B$41="Valid untuk hitung",'Gelombang'!H17="Valid untuk hitung",ISNUMBER(J16),ISNUMBER(K16),ISNUMBER(Q16)),L17*'Input'!$B$11,"n.a.")</x:f>
        <x:v>1.2857142857142858</x:v>
      </x:c>
      <x:c r="O17" s="14" t="n">
        <x:f>IF(AND('Input'!$B$41="Valid untuk hitung",'Gelombang'!H17="Valid untuk hitung",ISNUMBER(J16),ISNUMBER(K16),ISNUMBER(Q16)),IF('Input'!$B$12=0,P16+N17,MIN(P16+N17,('Gelombang'!E17*'Input'!$B$15-'Gelombang'!G17)*60*'Input'!$B$13/'Input'!$B$12)),"n.a.")</x:f>
        <x:v>1.2857142857142858</x:v>
      </x:c>
      <x:c r="P17" s="14" t="n">
        <x:f>IF(AND('Input'!$B$41="Valid untuk hitung",'Gelombang'!H17="Valid untuk hitung",ISNUMBER(J16),ISNUMBER(K16),ISNUMBER(Q16)),P16+N17-O17,"n.a.")</x:f>
        <x:v>0</x:v>
      </x:c>
      <x:c r="Q17" s="14" t="n">
        <x:f>IF(AND('Input'!$B$41="Valid untuk hitung",'Gelombang'!H17="Valid untuk hitung",ISNUMBER(J16),ISNUMBER(K16),ISNUMBER(Q16)),M17+P17,"n.a.")</x:f>
        <x:v>0</x:v>
      </x:c>
    </x:row>
    <x:row r="18" ht="24" customHeight="1">
      <x:c r="A18" s="13" t="str">
        <x:f>TEXT('Gelombang'!A18+'Input'!$B$15/1440,"hh:mm")</x:f>
        <x:v>12:45</x:v>
      </x:c>
      <x:c r="B18" s="14" t="n">
        <x:f>'Gelombang'!B18</x:f>
        <x:v>25.714285714285715</x:v>
      </x:c>
      <x:c r="C18" s="14" t="n">
        <x:f>IF(AND('Input'!$B$41="Valid untuk hitung",'Gelombang'!H18="Valid untuk hitung",ISNUMBER(J17),ISNUMBER(K17),ISNUMBER(Q17)),MAX('Gelombang'!C18-1,0),"n.a.")</x:f>
        <x:v>5</x:v>
      </x:c>
      <x:c r="D18" s="14" t="n">
        <x:f>IF(AND('Input'!$B$41="Valid untuk hitung",'Gelombang'!H18="Valid untuk hitung",ISNUMBER(J17),ISNUMBER(K17),ISNUMBER(Q17)),MIN('Gelombang'!C18,1),"n.a.")</x:f>
        <x:v>1</x:v>
      </x:c>
      <x:c r="E18" s="14" t="n">
        <x:f>IF(AND('Input'!$B$41="Valid untuk hitung",'Gelombang'!H18="Valid untuk hitung",ISNUMBER(J17),ISNUMBER(K17),ISNUMBER(Q17)),MIN(F17+B18,C18*'Input'!$B$15*60*'Input'!$B$13/'Input'!$B$10),"n.a.")</x:f>
        <x:v>25.714285714285715</x:v>
      </x:c>
      <x:c r="F18" s="14" t="n">
        <x:f>IF(AND('Input'!$B$41="Valid untuk hitung",'Gelombang'!H18="Valid untuk hitung",ISNUMBER(J17),ISNUMBER(K17),ISNUMBER(Q17)),F17+B18-E18,"n.a.")</x:f>
        <x:v>0</x:v>
      </x:c>
      <x:c r="G18" s="14" t="n">
        <x:f>IF(AND('Input'!$B$41="Valid untuk hitung",'Gelombang'!H18="Valid untuk hitung",ISNUMBER(J17),ISNUMBER(K17),ISNUMBER(Q17)),E18*'Input'!$B$11,"n.a.")</x:f>
        <x:v>1.2857142857142858</x:v>
      </x:c>
      <x:c r="H18" s="14" t="n">
        <x:f>IF(AND('Input'!$B$41="Valid untuk hitung",'Gelombang'!H18="Valid untuk hitung",ISNUMBER(J17),ISNUMBER(K17),ISNUMBER(Q17)),IF('Input'!$B$12=0,I17+G18,MIN(I17+G18,D18*'Input'!$B$15*60*'Input'!$B$13/'Input'!$B$12)),"n.a.")</x:f>
        <x:v>1.2857142857142858</x:v>
      </x:c>
      <x:c r="I18" s="14" t="n">
        <x:f>IF(AND('Input'!$B$41="Valid untuk hitung",'Gelombang'!H18="Valid untuk hitung",ISNUMBER(J17),ISNUMBER(K17),ISNUMBER(Q17)),I17+G18-H18,"n.a.")</x:f>
        <x:v>0</x:v>
      </x:c>
      <x:c r="J18" s="14" t="n">
        <x:f>IF(AND('Input'!$B$41="Valid untuk hitung",'Gelombang'!H18="Valid untuk hitung",ISNUMBER(J17),ISNUMBER(K17),ISNUMBER(Q17)),F18+I18,"n.a.")</x:f>
        <x:v>0</x:v>
      </x:c>
      <x:c r="K18" s="14" t="n">
        <x:f>IF(AND('Input'!$B$41="Valid untuk hitung",'Gelombang'!H18="Valid untuk hitung",ISNUMBER(J17),ISNUMBER(K17),ISNUMBER(Q17)),MAX(0,K17+B18-'Gelombang'!C18*'Input'!$B$15*60*'Input'!$B$13/('Input'!$B$10+'Input'!$B$11*'Input'!$B$12)),"n.a.")</x:f>
        <x:v>0</x:v>
      </x:c>
      <x:c r="L18" s="14" t="n">
        <x:f>IF(AND('Input'!$B$41="Valid untuk hitung",'Gelombang'!H18="Valid untuk hitung",ISNUMBER(J17),ISNUMBER(K17),ISNUMBER(Q17)),MIN(M17+B18,('Gelombang'!D18*'Input'!$B$15-'Gelombang'!F18)*60*'Input'!$B$13/'Input'!$B$10),"n.a.")</x:f>
        <x:v>25.714285714285715</x:v>
      </x:c>
      <x:c r="M18" s="14" t="n">
        <x:f>IF(AND('Input'!$B$41="Valid untuk hitung",'Gelombang'!H18="Valid untuk hitung",ISNUMBER(J17),ISNUMBER(K17),ISNUMBER(Q17)),M17+B18-L18,"n.a.")</x:f>
        <x:v>0</x:v>
      </x:c>
      <x:c r="N18" s="14" t="n">
        <x:f>IF(AND('Input'!$B$41="Valid untuk hitung",'Gelombang'!H18="Valid untuk hitung",ISNUMBER(J17),ISNUMBER(K17),ISNUMBER(Q17)),L18*'Input'!$B$11,"n.a.")</x:f>
        <x:v>1.2857142857142858</x:v>
      </x:c>
      <x:c r="O18" s="14" t="n">
        <x:f>IF(AND('Input'!$B$41="Valid untuk hitung",'Gelombang'!H18="Valid untuk hitung",ISNUMBER(J17),ISNUMBER(K17),ISNUMBER(Q17)),IF('Input'!$B$12=0,P17+N18,MIN(P17+N18,('Gelombang'!E18*'Input'!$B$15-'Gelombang'!G18)*60*'Input'!$B$13/'Input'!$B$12)),"n.a.")</x:f>
        <x:v>1.2857142857142858</x:v>
      </x:c>
      <x:c r="P18" s="14" t="n">
        <x:f>IF(AND('Input'!$B$41="Valid untuk hitung",'Gelombang'!H18="Valid untuk hitung",ISNUMBER(J17),ISNUMBER(K17),ISNUMBER(Q17)),P17+N18-O18,"n.a.")</x:f>
        <x:v>0</x:v>
      </x:c>
      <x:c r="Q18" s="14" t="n">
        <x:f>IF(AND('Input'!$B$41="Valid untuk hitung",'Gelombang'!H18="Valid untuk hitung",ISNUMBER(J17),ISNUMBER(K17),ISNUMBER(Q17)),M18+P18,"n.a.")</x:f>
        <x:v>0</x:v>
      </x:c>
    </x:row>
    <x:row r="19" ht="24" customHeight="1">
      <x:c r="A19" s="13" t="str">
        <x:f>TEXT('Gelombang'!A19+'Input'!$B$15/1440,"hh:mm")</x:f>
        <x:v>13:00</x:v>
      </x:c>
      <x:c r="B19" s="14" t="n">
        <x:f>'Gelombang'!B19</x:f>
        <x:v>25.714285714285715</x:v>
      </x:c>
      <x:c r="C19" s="14" t="n">
        <x:f>IF(AND('Input'!$B$41="Valid untuk hitung",'Gelombang'!H19="Valid untuk hitung",ISNUMBER(J18),ISNUMBER(K18),ISNUMBER(Q18)),MAX('Gelombang'!C19-1,0),"n.a.")</x:f>
        <x:v>5</x:v>
      </x:c>
      <x:c r="D19" s="14" t="n">
        <x:f>IF(AND('Input'!$B$41="Valid untuk hitung",'Gelombang'!H19="Valid untuk hitung",ISNUMBER(J18),ISNUMBER(K18),ISNUMBER(Q18)),MIN('Gelombang'!C19,1),"n.a.")</x:f>
        <x:v>1</x:v>
      </x:c>
      <x:c r="E19" s="14" t="n">
        <x:f>IF(AND('Input'!$B$41="Valid untuk hitung",'Gelombang'!H19="Valid untuk hitung",ISNUMBER(J18),ISNUMBER(K18),ISNUMBER(Q18)),MIN(F18+B19,C19*'Input'!$B$15*60*'Input'!$B$13/'Input'!$B$10),"n.a.")</x:f>
        <x:v>25.714285714285715</x:v>
      </x:c>
      <x:c r="F19" s="14" t="n">
        <x:f>IF(AND('Input'!$B$41="Valid untuk hitung",'Gelombang'!H19="Valid untuk hitung",ISNUMBER(J18),ISNUMBER(K18),ISNUMBER(Q18)),F18+B19-E19,"n.a.")</x:f>
        <x:v>0</x:v>
      </x:c>
      <x:c r="G19" s="14" t="n">
        <x:f>IF(AND('Input'!$B$41="Valid untuk hitung",'Gelombang'!H19="Valid untuk hitung",ISNUMBER(J18),ISNUMBER(K18),ISNUMBER(Q18)),E19*'Input'!$B$11,"n.a.")</x:f>
        <x:v>1.2857142857142858</x:v>
      </x:c>
      <x:c r="H19" s="14" t="n">
        <x:f>IF(AND('Input'!$B$41="Valid untuk hitung",'Gelombang'!H19="Valid untuk hitung",ISNUMBER(J18),ISNUMBER(K18),ISNUMBER(Q18)),IF('Input'!$B$12=0,I18+G19,MIN(I18+G19,D19*'Input'!$B$15*60*'Input'!$B$13/'Input'!$B$12)),"n.a.")</x:f>
        <x:v>1.2857142857142858</x:v>
      </x:c>
      <x:c r="I19" s="14" t="n">
        <x:f>IF(AND('Input'!$B$41="Valid untuk hitung",'Gelombang'!H19="Valid untuk hitung",ISNUMBER(J18),ISNUMBER(K18),ISNUMBER(Q18)),I18+G19-H19,"n.a.")</x:f>
        <x:v>0</x:v>
      </x:c>
      <x:c r="J19" s="14" t="n">
        <x:f>IF(AND('Input'!$B$41="Valid untuk hitung",'Gelombang'!H19="Valid untuk hitung",ISNUMBER(J18),ISNUMBER(K18),ISNUMBER(Q18)),F19+I19,"n.a.")</x:f>
        <x:v>0</x:v>
      </x:c>
      <x:c r="K19" s="14" t="n">
        <x:f>IF(AND('Input'!$B$41="Valid untuk hitung",'Gelombang'!H19="Valid untuk hitung",ISNUMBER(J18),ISNUMBER(K18),ISNUMBER(Q18)),MAX(0,K18+B19-'Gelombang'!C19*'Input'!$B$15*60*'Input'!$B$13/('Input'!$B$10+'Input'!$B$11*'Input'!$B$12)),"n.a.")</x:f>
        <x:v>0</x:v>
      </x:c>
      <x:c r="L19" s="14" t="n">
        <x:f>IF(AND('Input'!$B$41="Valid untuk hitung",'Gelombang'!H19="Valid untuk hitung",ISNUMBER(J18),ISNUMBER(K18),ISNUMBER(Q18)),MIN(M18+B19,('Gelombang'!D19*'Input'!$B$15-'Gelombang'!F19)*60*'Input'!$B$13/'Input'!$B$10),"n.a.")</x:f>
        <x:v>25.714285714285715</x:v>
      </x:c>
      <x:c r="M19" s="14" t="n">
        <x:f>IF(AND('Input'!$B$41="Valid untuk hitung",'Gelombang'!H19="Valid untuk hitung",ISNUMBER(J18),ISNUMBER(K18),ISNUMBER(Q18)),M18+B19-L19,"n.a.")</x:f>
        <x:v>0</x:v>
      </x:c>
      <x:c r="N19" s="14" t="n">
        <x:f>IF(AND('Input'!$B$41="Valid untuk hitung",'Gelombang'!H19="Valid untuk hitung",ISNUMBER(J18),ISNUMBER(K18),ISNUMBER(Q18)),L19*'Input'!$B$11,"n.a.")</x:f>
        <x:v>1.2857142857142858</x:v>
      </x:c>
      <x:c r="O19" s="14" t="n">
        <x:f>IF(AND('Input'!$B$41="Valid untuk hitung",'Gelombang'!H19="Valid untuk hitung",ISNUMBER(J18),ISNUMBER(K18),ISNUMBER(Q18)),IF('Input'!$B$12=0,P18+N19,MIN(P18+N19,('Gelombang'!E19*'Input'!$B$15-'Gelombang'!G19)*60*'Input'!$B$13/'Input'!$B$12)),"n.a.")</x:f>
        <x:v>1.2857142857142858</x:v>
      </x:c>
      <x:c r="P19" s="14" t="n">
        <x:f>IF(AND('Input'!$B$41="Valid untuk hitung",'Gelombang'!H19="Valid untuk hitung",ISNUMBER(J18),ISNUMBER(K18),ISNUMBER(Q18)),P18+N19-O19,"n.a.")</x:f>
        <x:v>0</x:v>
      </x:c>
      <x:c r="Q19" s="14" t="n">
        <x:f>IF(AND('Input'!$B$41="Valid untuk hitung",'Gelombang'!H19="Valid untuk hitung",ISNUMBER(J18),ISNUMBER(K18),ISNUMBER(Q18)),M19+P19,"n.a.")</x:f>
        <x:v>0</x:v>
      </x:c>
    </x:row>
    <x:row r="20" ht="24" customHeight="1">
      <x:c r="A20" s="13" t="str">
        <x:f>TEXT('Gelombang'!A20+'Input'!$B$15/1440,"hh:mm")</x:f>
        <x:v>13:15</x:v>
      </x:c>
      <x:c r="B20" s="14" t="n">
        <x:f>'Gelombang'!B20</x:f>
        <x:v>25.714285714285715</x:v>
      </x:c>
      <x:c r="C20" s="14" t="n">
        <x:f>IF(AND('Input'!$B$41="Valid untuk hitung",'Gelombang'!H20="Valid untuk hitung",ISNUMBER(J19),ISNUMBER(K19),ISNUMBER(Q19)),MAX('Gelombang'!C20-1,0),"n.a.")</x:f>
        <x:v>5</x:v>
      </x:c>
      <x:c r="D20" s="14" t="n">
        <x:f>IF(AND('Input'!$B$41="Valid untuk hitung",'Gelombang'!H20="Valid untuk hitung",ISNUMBER(J19),ISNUMBER(K19),ISNUMBER(Q19)),MIN('Gelombang'!C20,1),"n.a.")</x:f>
        <x:v>1</x:v>
      </x:c>
      <x:c r="E20" s="14" t="n">
        <x:f>IF(AND('Input'!$B$41="Valid untuk hitung",'Gelombang'!H20="Valid untuk hitung",ISNUMBER(J19),ISNUMBER(K19),ISNUMBER(Q19)),MIN(F19+B20,C20*'Input'!$B$15*60*'Input'!$B$13/'Input'!$B$10),"n.a.")</x:f>
        <x:v>25.714285714285715</x:v>
      </x:c>
      <x:c r="F20" s="14" t="n">
        <x:f>IF(AND('Input'!$B$41="Valid untuk hitung",'Gelombang'!H20="Valid untuk hitung",ISNUMBER(J19),ISNUMBER(K19),ISNUMBER(Q19)),F19+B20-E20,"n.a.")</x:f>
        <x:v>0</x:v>
      </x:c>
      <x:c r="G20" s="14" t="n">
        <x:f>IF(AND('Input'!$B$41="Valid untuk hitung",'Gelombang'!H20="Valid untuk hitung",ISNUMBER(J19),ISNUMBER(K19),ISNUMBER(Q19)),E20*'Input'!$B$11,"n.a.")</x:f>
        <x:v>1.2857142857142858</x:v>
      </x:c>
      <x:c r="H20" s="14" t="n">
        <x:f>IF(AND('Input'!$B$41="Valid untuk hitung",'Gelombang'!H20="Valid untuk hitung",ISNUMBER(J19),ISNUMBER(K19),ISNUMBER(Q19)),IF('Input'!$B$12=0,I19+G20,MIN(I19+G20,D20*'Input'!$B$15*60*'Input'!$B$13/'Input'!$B$12)),"n.a.")</x:f>
        <x:v>1.2857142857142858</x:v>
      </x:c>
      <x:c r="I20" s="14" t="n">
        <x:f>IF(AND('Input'!$B$41="Valid untuk hitung",'Gelombang'!H20="Valid untuk hitung",ISNUMBER(J19),ISNUMBER(K19),ISNUMBER(Q19)),I19+G20-H20,"n.a.")</x:f>
        <x:v>0</x:v>
      </x:c>
      <x:c r="J20" s="14" t="n">
        <x:f>IF(AND('Input'!$B$41="Valid untuk hitung",'Gelombang'!H20="Valid untuk hitung",ISNUMBER(J19),ISNUMBER(K19),ISNUMBER(Q19)),F20+I20,"n.a.")</x:f>
        <x:v>0</x:v>
      </x:c>
      <x:c r="K20" s="14" t="n">
        <x:f>IF(AND('Input'!$B$41="Valid untuk hitung",'Gelombang'!H20="Valid untuk hitung",ISNUMBER(J19),ISNUMBER(K19),ISNUMBER(Q19)),MAX(0,K19+B20-'Gelombang'!C20*'Input'!$B$15*60*'Input'!$B$13/('Input'!$B$10+'Input'!$B$11*'Input'!$B$12)),"n.a.")</x:f>
        <x:v>0</x:v>
      </x:c>
      <x:c r="L20" s="14" t="n">
        <x:f>IF(AND('Input'!$B$41="Valid untuk hitung",'Gelombang'!H20="Valid untuk hitung",ISNUMBER(J19),ISNUMBER(K19),ISNUMBER(Q19)),MIN(M19+B20,('Gelombang'!D20*'Input'!$B$15-'Gelombang'!F20)*60*'Input'!$B$13/'Input'!$B$10),"n.a.")</x:f>
        <x:v>25.714285714285715</x:v>
      </x:c>
      <x:c r="M20" s="14" t="n">
        <x:f>IF(AND('Input'!$B$41="Valid untuk hitung",'Gelombang'!H20="Valid untuk hitung",ISNUMBER(J19),ISNUMBER(K19),ISNUMBER(Q19)),M19+B20-L20,"n.a.")</x:f>
        <x:v>0</x:v>
      </x:c>
      <x:c r="N20" s="14" t="n">
        <x:f>IF(AND('Input'!$B$41="Valid untuk hitung",'Gelombang'!H20="Valid untuk hitung",ISNUMBER(J19),ISNUMBER(K19),ISNUMBER(Q19)),L20*'Input'!$B$11,"n.a.")</x:f>
        <x:v>1.2857142857142858</x:v>
      </x:c>
      <x:c r="O20" s="14" t="n">
        <x:f>IF(AND('Input'!$B$41="Valid untuk hitung",'Gelombang'!H20="Valid untuk hitung",ISNUMBER(J19),ISNUMBER(K19),ISNUMBER(Q19)),IF('Input'!$B$12=0,P19+N20,MIN(P19+N20,('Gelombang'!E20*'Input'!$B$15-'Gelombang'!G20)*60*'Input'!$B$13/'Input'!$B$12)),"n.a.")</x:f>
        <x:v>1.2857142857142858</x:v>
      </x:c>
      <x:c r="P20" s="14" t="n">
        <x:f>IF(AND('Input'!$B$41="Valid untuk hitung",'Gelombang'!H20="Valid untuk hitung",ISNUMBER(J19),ISNUMBER(K19),ISNUMBER(Q19)),P19+N20-O20,"n.a.")</x:f>
        <x:v>0</x:v>
      </x:c>
      <x:c r="Q20" s="14" t="n">
        <x:f>IF(AND('Input'!$B$41="Valid untuk hitung",'Gelombang'!H20="Valid untuk hitung",ISNUMBER(J19),ISNUMBER(K19),ISNUMBER(Q19)),M20+P20,"n.a.")</x:f>
        <x:v>0</x:v>
      </x:c>
    </x:row>
    <x:row r="21" ht="24" customHeight="1">
      <x:c r="A21" s="13" t="str">
        <x:f>TEXT('Gelombang'!A21+'Input'!$B$15/1440,"hh:mm")</x:f>
        <x:v>13:30</x:v>
      </x:c>
      <x:c r="B21" s="14" t="n">
        <x:f>'Gelombang'!B21</x:f>
        <x:v>25.714285714285715</x:v>
      </x:c>
      <x:c r="C21" s="14" t="n">
        <x:f>IF(AND('Input'!$B$41="Valid untuk hitung",'Gelombang'!H21="Valid untuk hitung",ISNUMBER(J20),ISNUMBER(K20),ISNUMBER(Q20)),MAX('Gelombang'!C21-1,0),"n.a.")</x:f>
        <x:v>5</x:v>
      </x:c>
      <x:c r="D21" s="14" t="n">
        <x:f>IF(AND('Input'!$B$41="Valid untuk hitung",'Gelombang'!H21="Valid untuk hitung",ISNUMBER(J20),ISNUMBER(K20),ISNUMBER(Q20)),MIN('Gelombang'!C21,1),"n.a.")</x:f>
        <x:v>1</x:v>
      </x:c>
      <x:c r="E21" s="14" t="n">
        <x:f>IF(AND('Input'!$B$41="Valid untuk hitung",'Gelombang'!H21="Valid untuk hitung",ISNUMBER(J20),ISNUMBER(K20),ISNUMBER(Q20)),MIN(F20+B21,C21*'Input'!$B$15*60*'Input'!$B$13/'Input'!$B$10),"n.a.")</x:f>
        <x:v>25.714285714285715</x:v>
      </x:c>
      <x:c r="F21" s="14" t="n">
        <x:f>IF(AND('Input'!$B$41="Valid untuk hitung",'Gelombang'!H21="Valid untuk hitung",ISNUMBER(J20),ISNUMBER(K20),ISNUMBER(Q20)),F20+B21-E21,"n.a.")</x:f>
        <x:v>0</x:v>
      </x:c>
      <x:c r="G21" s="14" t="n">
        <x:f>IF(AND('Input'!$B$41="Valid untuk hitung",'Gelombang'!H21="Valid untuk hitung",ISNUMBER(J20),ISNUMBER(K20),ISNUMBER(Q20)),E21*'Input'!$B$11,"n.a.")</x:f>
        <x:v>1.2857142857142858</x:v>
      </x:c>
      <x:c r="H21" s="14" t="n">
        <x:f>IF(AND('Input'!$B$41="Valid untuk hitung",'Gelombang'!H21="Valid untuk hitung",ISNUMBER(J20),ISNUMBER(K20),ISNUMBER(Q20)),IF('Input'!$B$12=0,I20+G21,MIN(I20+G21,D21*'Input'!$B$15*60*'Input'!$B$13/'Input'!$B$12)),"n.a.")</x:f>
        <x:v>1.2857142857142858</x:v>
      </x:c>
      <x:c r="I21" s="14" t="n">
        <x:f>IF(AND('Input'!$B$41="Valid untuk hitung",'Gelombang'!H21="Valid untuk hitung",ISNUMBER(J20),ISNUMBER(K20),ISNUMBER(Q20)),I20+G21-H21,"n.a.")</x:f>
        <x:v>0</x:v>
      </x:c>
      <x:c r="J21" s="14" t="n">
        <x:f>IF(AND('Input'!$B$41="Valid untuk hitung",'Gelombang'!H21="Valid untuk hitung",ISNUMBER(J20),ISNUMBER(K20),ISNUMBER(Q20)),F21+I21,"n.a.")</x:f>
        <x:v>0</x:v>
      </x:c>
      <x:c r="K21" s="14" t="n">
        <x:f>IF(AND('Input'!$B$41="Valid untuk hitung",'Gelombang'!H21="Valid untuk hitung",ISNUMBER(J20),ISNUMBER(K20),ISNUMBER(Q20)),MAX(0,K20+B21-'Gelombang'!C21*'Input'!$B$15*60*'Input'!$B$13/('Input'!$B$10+'Input'!$B$11*'Input'!$B$12)),"n.a.")</x:f>
        <x:v>0</x:v>
      </x:c>
      <x:c r="L21" s="14" t="n">
        <x:f>IF(AND('Input'!$B$41="Valid untuk hitung",'Gelombang'!H21="Valid untuk hitung",ISNUMBER(J20),ISNUMBER(K20),ISNUMBER(Q20)),MIN(M20+B21,('Gelombang'!D21*'Input'!$B$15-'Gelombang'!F21)*60*'Input'!$B$13/'Input'!$B$10),"n.a.")</x:f>
        <x:v>25.714285714285715</x:v>
      </x:c>
      <x:c r="M21" s="14" t="n">
        <x:f>IF(AND('Input'!$B$41="Valid untuk hitung",'Gelombang'!H21="Valid untuk hitung",ISNUMBER(J20),ISNUMBER(K20),ISNUMBER(Q20)),M20+B21-L21,"n.a.")</x:f>
        <x:v>0</x:v>
      </x:c>
      <x:c r="N21" s="14" t="n">
        <x:f>IF(AND('Input'!$B$41="Valid untuk hitung",'Gelombang'!H21="Valid untuk hitung",ISNUMBER(J20),ISNUMBER(K20),ISNUMBER(Q20)),L21*'Input'!$B$11,"n.a.")</x:f>
        <x:v>1.2857142857142858</x:v>
      </x:c>
      <x:c r="O21" s="14" t="n">
        <x:f>IF(AND('Input'!$B$41="Valid untuk hitung",'Gelombang'!H21="Valid untuk hitung",ISNUMBER(J20),ISNUMBER(K20),ISNUMBER(Q20)),IF('Input'!$B$12=0,P20+N21,MIN(P20+N21,('Gelombang'!E21*'Input'!$B$15-'Gelombang'!G21)*60*'Input'!$B$13/'Input'!$B$12)),"n.a.")</x:f>
        <x:v>1.2857142857142858</x:v>
      </x:c>
      <x:c r="P21" s="14" t="n">
        <x:f>IF(AND('Input'!$B$41="Valid untuk hitung",'Gelombang'!H21="Valid untuk hitung",ISNUMBER(J20),ISNUMBER(K20),ISNUMBER(Q20)),P20+N21-O21,"n.a.")</x:f>
        <x:v>0</x:v>
      </x:c>
      <x:c r="Q21" s="14" t="n">
        <x:f>IF(AND('Input'!$B$41="Valid untuk hitung",'Gelombang'!H21="Valid untuk hitung",ISNUMBER(J20),ISNUMBER(K20),ISNUMBER(Q20)),M21+P21,"n.a.")</x:f>
        <x:v>0</x:v>
      </x:c>
    </x:row>
    <x:row r="22" ht="24" customHeight="1">
      <x:c r="A22" s="13" t="str">
        <x:f>TEXT('Gelombang'!A22+'Input'!$B$15/1440,"hh:mm")</x:f>
        <x:v>13:45</x:v>
      </x:c>
      <x:c r="B22" s="14" t="n">
        <x:f>'Gelombang'!B22</x:f>
        <x:v>25.714285714285715</x:v>
      </x:c>
      <x:c r="C22" s="14" t="n">
        <x:f>IF(AND('Input'!$B$41="Valid untuk hitung",'Gelombang'!H22="Valid untuk hitung",ISNUMBER(J21),ISNUMBER(K21),ISNUMBER(Q21)),MAX('Gelombang'!C22-1,0),"n.a.")</x:f>
        <x:v>5</x:v>
      </x:c>
      <x:c r="D22" s="14" t="n">
        <x:f>IF(AND('Input'!$B$41="Valid untuk hitung",'Gelombang'!H22="Valid untuk hitung",ISNUMBER(J21),ISNUMBER(K21),ISNUMBER(Q21)),MIN('Gelombang'!C22,1),"n.a.")</x:f>
        <x:v>1</x:v>
      </x:c>
      <x:c r="E22" s="14" t="n">
        <x:f>IF(AND('Input'!$B$41="Valid untuk hitung",'Gelombang'!H22="Valid untuk hitung",ISNUMBER(J21),ISNUMBER(K21),ISNUMBER(Q21)),MIN(F21+B22,C22*'Input'!$B$15*60*'Input'!$B$13/'Input'!$B$10),"n.a.")</x:f>
        <x:v>25.714285714285715</x:v>
      </x:c>
      <x:c r="F22" s="14" t="n">
        <x:f>IF(AND('Input'!$B$41="Valid untuk hitung",'Gelombang'!H22="Valid untuk hitung",ISNUMBER(J21),ISNUMBER(K21),ISNUMBER(Q21)),F21+B22-E22,"n.a.")</x:f>
        <x:v>0</x:v>
      </x:c>
      <x:c r="G22" s="14" t="n">
        <x:f>IF(AND('Input'!$B$41="Valid untuk hitung",'Gelombang'!H22="Valid untuk hitung",ISNUMBER(J21),ISNUMBER(K21),ISNUMBER(Q21)),E22*'Input'!$B$11,"n.a.")</x:f>
        <x:v>1.2857142857142858</x:v>
      </x:c>
      <x:c r="H22" s="14" t="n">
        <x:f>IF(AND('Input'!$B$41="Valid untuk hitung",'Gelombang'!H22="Valid untuk hitung",ISNUMBER(J21),ISNUMBER(K21),ISNUMBER(Q21)),IF('Input'!$B$12=0,I21+G22,MIN(I21+G22,D22*'Input'!$B$15*60*'Input'!$B$13/'Input'!$B$12)),"n.a.")</x:f>
        <x:v>1.2857142857142858</x:v>
      </x:c>
      <x:c r="I22" s="14" t="n">
        <x:f>IF(AND('Input'!$B$41="Valid untuk hitung",'Gelombang'!H22="Valid untuk hitung",ISNUMBER(J21),ISNUMBER(K21),ISNUMBER(Q21)),I21+G22-H22,"n.a.")</x:f>
        <x:v>0</x:v>
      </x:c>
      <x:c r="J22" s="14" t="n">
        <x:f>IF(AND('Input'!$B$41="Valid untuk hitung",'Gelombang'!H22="Valid untuk hitung",ISNUMBER(J21),ISNUMBER(K21),ISNUMBER(Q21)),F22+I22,"n.a.")</x:f>
        <x:v>0</x:v>
      </x:c>
      <x:c r="K22" s="14" t="n">
        <x:f>IF(AND('Input'!$B$41="Valid untuk hitung",'Gelombang'!H22="Valid untuk hitung",ISNUMBER(J21),ISNUMBER(K21),ISNUMBER(Q21)),MAX(0,K21+B22-'Gelombang'!C22*'Input'!$B$15*60*'Input'!$B$13/('Input'!$B$10+'Input'!$B$11*'Input'!$B$12)),"n.a.")</x:f>
        <x:v>0</x:v>
      </x:c>
      <x:c r="L22" s="14" t="n">
        <x:f>IF(AND('Input'!$B$41="Valid untuk hitung",'Gelombang'!H22="Valid untuk hitung",ISNUMBER(J21),ISNUMBER(K21),ISNUMBER(Q21)),MIN(M21+B22,('Gelombang'!D22*'Input'!$B$15-'Gelombang'!F22)*60*'Input'!$B$13/'Input'!$B$10),"n.a.")</x:f>
        <x:v>25.714285714285715</x:v>
      </x:c>
      <x:c r="M22" s="14" t="n">
        <x:f>IF(AND('Input'!$B$41="Valid untuk hitung",'Gelombang'!H22="Valid untuk hitung",ISNUMBER(J21),ISNUMBER(K21),ISNUMBER(Q21)),M21+B22-L22,"n.a.")</x:f>
        <x:v>0</x:v>
      </x:c>
      <x:c r="N22" s="14" t="n">
        <x:f>IF(AND('Input'!$B$41="Valid untuk hitung",'Gelombang'!H22="Valid untuk hitung",ISNUMBER(J21),ISNUMBER(K21),ISNUMBER(Q21)),L22*'Input'!$B$11,"n.a.")</x:f>
        <x:v>1.2857142857142858</x:v>
      </x:c>
      <x:c r="O22" s="14" t="n">
        <x:f>IF(AND('Input'!$B$41="Valid untuk hitung",'Gelombang'!H22="Valid untuk hitung",ISNUMBER(J21),ISNUMBER(K21),ISNUMBER(Q21)),IF('Input'!$B$12=0,P21+N22,MIN(P21+N22,('Gelombang'!E22*'Input'!$B$15-'Gelombang'!G22)*60*'Input'!$B$13/'Input'!$B$12)),"n.a.")</x:f>
        <x:v>1.2857142857142858</x:v>
      </x:c>
      <x:c r="P22" s="14" t="n">
        <x:f>IF(AND('Input'!$B$41="Valid untuk hitung",'Gelombang'!H22="Valid untuk hitung",ISNUMBER(J21),ISNUMBER(K21),ISNUMBER(Q21)),P21+N22-O22,"n.a.")</x:f>
        <x:v>0</x:v>
      </x:c>
      <x:c r="Q22" s="14" t="n">
        <x:f>IF(AND('Input'!$B$41="Valid untuk hitung",'Gelombang'!H22="Valid untuk hitung",ISNUMBER(J21),ISNUMBER(K21),ISNUMBER(Q21)),M22+P22,"n.a.")</x:f>
        <x:v>0</x:v>
      </x:c>
    </x:row>
    <x:row r="23" ht="24" customHeight="1">
      <x:c r="A23" s="13" t="str">
        <x:f>TEXT('Gelombang'!A23+'Input'!$B$15/1440,"hh:mm")</x:f>
        <x:v>14:00</x:v>
      </x:c>
      <x:c r="B23" s="14" t="n">
        <x:f>'Gelombang'!B23</x:f>
        <x:v>25.714285714285715</x:v>
      </x:c>
      <x:c r="C23" s="14" t="n">
        <x:f>IF(AND('Input'!$B$41="Valid untuk hitung",'Gelombang'!H23="Valid untuk hitung",ISNUMBER(J22),ISNUMBER(K22),ISNUMBER(Q22)),MAX('Gelombang'!C23-1,0),"n.a.")</x:f>
        <x:v>5</x:v>
      </x:c>
      <x:c r="D23" s="14" t="n">
        <x:f>IF(AND('Input'!$B$41="Valid untuk hitung",'Gelombang'!H23="Valid untuk hitung",ISNUMBER(J22),ISNUMBER(K22),ISNUMBER(Q22)),MIN('Gelombang'!C23,1),"n.a.")</x:f>
        <x:v>1</x:v>
      </x:c>
      <x:c r="E23" s="14" t="n">
        <x:f>IF(AND('Input'!$B$41="Valid untuk hitung",'Gelombang'!H23="Valid untuk hitung",ISNUMBER(J22),ISNUMBER(K22),ISNUMBER(Q22)),MIN(F22+B23,C23*'Input'!$B$15*60*'Input'!$B$13/'Input'!$B$10),"n.a.")</x:f>
        <x:v>25.714285714285715</x:v>
      </x:c>
      <x:c r="F23" s="14" t="n">
        <x:f>IF(AND('Input'!$B$41="Valid untuk hitung",'Gelombang'!H23="Valid untuk hitung",ISNUMBER(J22),ISNUMBER(K22),ISNUMBER(Q22)),F22+B23-E23,"n.a.")</x:f>
        <x:v>0</x:v>
      </x:c>
      <x:c r="G23" s="14" t="n">
        <x:f>IF(AND('Input'!$B$41="Valid untuk hitung",'Gelombang'!H23="Valid untuk hitung",ISNUMBER(J22),ISNUMBER(K22),ISNUMBER(Q22)),E23*'Input'!$B$11,"n.a.")</x:f>
        <x:v>1.2857142857142858</x:v>
      </x:c>
      <x:c r="H23" s="14" t="n">
        <x:f>IF(AND('Input'!$B$41="Valid untuk hitung",'Gelombang'!H23="Valid untuk hitung",ISNUMBER(J22),ISNUMBER(K22),ISNUMBER(Q22)),IF('Input'!$B$12=0,I22+G23,MIN(I22+G23,D23*'Input'!$B$15*60*'Input'!$B$13/'Input'!$B$12)),"n.a.")</x:f>
        <x:v>1.2857142857142858</x:v>
      </x:c>
      <x:c r="I23" s="14" t="n">
        <x:f>IF(AND('Input'!$B$41="Valid untuk hitung",'Gelombang'!H23="Valid untuk hitung",ISNUMBER(J22),ISNUMBER(K22),ISNUMBER(Q22)),I22+G23-H23,"n.a.")</x:f>
        <x:v>0</x:v>
      </x:c>
      <x:c r="J23" s="14" t="n">
        <x:f>IF(AND('Input'!$B$41="Valid untuk hitung",'Gelombang'!H23="Valid untuk hitung",ISNUMBER(J22),ISNUMBER(K22),ISNUMBER(Q22)),F23+I23,"n.a.")</x:f>
        <x:v>0</x:v>
      </x:c>
      <x:c r="K23" s="14" t="n">
        <x:f>IF(AND('Input'!$B$41="Valid untuk hitung",'Gelombang'!H23="Valid untuk hitung",ISNUMBER(J22),ISNUMBER(K22),ISNUMBER(Q22)),MAX(0,K22+B23-'Gelombang'!C23*'Input'!$B$15*60*'Input'!$B$13/('Input'!$B$10+'Input'!$B$11*'Input'!$B$12)),"n.a.")</x:f>
        <x:v>0</x:v>
      </x:c>
      <x:c r="L23" s="14" t="n">
        <x:f>IF(AND('Input'!$B$41="Valid untuk hitung",'Gelombang'!H23="Valid untuk hitung",ISNUMBER(J22),ISNUMBER(K22),ISNUMBER(Q22)),MIN(M22+B23,('Gelombang'!D23*'Input'!$B$15-'Gelombang'!F23)*60*'Input'!$B$13/'Input'!$B$10),"n.a.")</x:f>
        <x:v>25.714285714285715</x:v>
      </x:c>
      <x:c r="M23" s="14" t="n">
        <x:f>IF(AND('Input'!$B$41="Valid untuk hitung",'Gelombang'!H23="Valid untuk hitung",ISNUMBER(J22),ISNUMBER(K22),ISNUMBER(Q22)),M22+B23-L23,"n.a.")</x:f>
        <x:v>0</x:v>
      </x:c>
      <x:c r="N23" s="14" t="n">
        <x:f>IF(AND('Input'!$B$41="Valid untuk hitung",'Gelombang'!H23="Valid untuk hitung",ISNUMBER(J22),ISNUMBER(K22),ISNUMBER(Q22)),L23*'Input'!$B$11,"n.a.")</x:f>
        <x:v>1.2857142857142858</x:v>
      </x:c>
      <x:c r="O23" s="14" t="n">
        <x:f>IF(AND('Input'!$B$41="Valid untuk hitung",'Gelombang'!H23="Valid untuk hitung",ISNUMBER(J22),ISNUMBER(K22),ISNUMBER(Q22)),IF('Input'!$B$12=0,P22+N23,MIN(P22+N23,('Gelombang'!E23*'Input'!$B$15-'Gelombang'!G23)*60*'Input'!$B$13/'Input'!$B$12)),"n.a.")</x:f>
        <x:v>1.2857142857142858</x:v>
      </x:c>
      <x:c r="P23" s="14" t="n">
        <x:f>IF(AND('Input'!$B$41="Valid untuk hitung",'Gelombang'!H23="Valid untuk hitung",ISNUMBER(J22),ISNUMBER(K22),ISNUMBER(Q22)),P22+N23-O23,"n.a.")</x:f>
        <x:v>0</x:v>
      </x:c>
      <x:c r="Q23" s="14" t="n">
        <x:f>IF(AND('Input'!$B$41="Valid untuk hitung",'Gelombang'!H23="Valid untuk hitung",ISNUMBER(J22),ISNUMBER(K22),ISNUMBER(Q22)),M23+P23,"n.a.")</x:f>
        <x:v>0</x:v>
      </x:c>
    </x:row>
    <x:row r="24" ht="24" customHeight="1">
      <x:c r="A24" s="13" t="str">
        <x:f>TEXT('Gelombang'!A24+'Input'!$B$15/1440,"hh:mm")</x:f>
        <x:v>14:15</x:v>
      </x:c>
      <x:c r="B24" s="14" t="n">
        <x:f>'Gelombang'!B24</x:f>
        <x:v>25.714285714285715</x:v>
      </x:c>
      <x:c r="C24" s="14" t="n">
        <x:f>IF(AND('Input'!$B$41="Valid untuk hitung",'Gelombang'!H24="Valid untuk hitung",ISNUMBER(J23),ISNUMBER(K23),ISNUMBER(Q23)),MAX('Gelombang'!C24-1,0),"n.a.")</x:f>
        <x:v>5</x:v>
      </x:c>
      <x:c r="D24" s="14" t="n">
        <x:f>IF(AND('Input'!$B$41="Valid untuk hitung",'Gelombang'!H24="Valid untuk hitung",ISNUMBER(J23),ISNUMBER(K23),ISNUMBER(Q23)),MIN('Gelombang'!C24,1),"n.a.")</x:f>
        <x:v>1</x:v>
      </x:c>
      <x:c r="E24" s="14" t="n">
        <x:f>IF(AND('Input'!$B$41="Valid untuk hitung",'Gelombang'!H24="Valid untuk hitung",ISNUMBER(J23),ISNUMBER(K23),ISNUMBER(Q23)),MIN(F23+B24,C24*'Input'!$B$15*60*'Input'!$B$13/'Input'!$B$10),"n.a.")</x:f>
        <x:v>25.714285714285715</x:v>
      </x:c>
      <x:c r="F24" s="14" t="n">
        <x:f>IF(AND('Input'!$B$41="Valid untuk hitung",'Gelombang'!H24="Valid untuk hitung",ISNUMBER(J23),ISNUMBER(K23),ISNUMBER(Q23)),F23+B24-E24,"n.a.")</x:f>
        <x:v>0</x:v>
      </x:c>
      <x:c r="G24" s="14" t="n">
        <x:f>IF(AND('Input'!$B$41="Valid untuk hitung",'Gelombang'!H24="Valid untuk hitung",ISNUMBER(J23),ISNUMBER(K23),ISNUMBER(Q23)),E24*'Input'!$B$11,"n.a.")</x:f>
        <x:v>1.2857142857142858</x:v>
      </x:c>
      <x:c r="H24" s="14" t="n">
        <x:f>IF(AND('Input'!$B$41="Valid untuk hitung",'Gelombang'!H24="Valid untuk hitung",ISNUMBER(J23),ISNUMBER(K23),ISNUMBER(Q23)),IF('Input'!$B$12=0,I23+G24,MIN(I23+G24,D24*'Input'!$B$15*60*'Input'!$B$13/'Input'!$B$12)),"n.a.")</x:f>
        <x:v>1.2857142857142858</x:v>
      </x:c>
      <x:c r="I24" s="14" t="n">
        <x:f>IF(AND('Input'!$B$41="Valid untuk hitung",'Gelombang'!H24="Valid untuk hitung",ISNUMBER(J23),ISNUMBER(K23),ISNUMBER(Q23)),I23+G24-H24,"n.a.")</x:f>
        <x:v>0</x:v>
      </x:c>
      <x:c r="J24" s="14" t="n">
        <x:f>IF(AND('Input'!$B$41="Valid untuk hitung",'Gelombang'!H24="Valid untuk hitung",ISNUMBER(J23),ISNUMBER(K23),ISNUMBER(Q23)),F24+I24,"n.a.")</x:f>
        <x:v>0</x:v>
      </x:c>
      <x:c r="K24" s="14" t="n">
        <x:f>IF(AND('Input'!$B$41="Valid untuk hitung",'Gelombang'!H24="Valid untuk hitung",ISNUMBER(J23),ISNUMBER(K23),ISNUMBER(Q23)),MAX(0,K23+B24-'Gelombang'!C24*'Input'!$B$15*60*'Input'!$B$13/('Input'!$B$10+'Input'!$B$11*'Input'!$B$12)),"n.a.")</x:f>
        <x:v>0</x:v>
      </x:c>
      <x:c r="L24" s="14" t="n">
        <x:f>IF(AND('Input'!$B$41="Valid untuk hitung",'Gelombang'!H24="Valid untuk hitung",ISNUMBER(J23),ISNUMBER(K23),ISNUMBER(Q23)),MIN(M23+B24,('Gelombang'!D24*'Input'!$B$15-'Gelombang'!F24)*60*'Input'!$B$13/'Input'!$B$10),"n.a.")</x:f>
        <x:v>25.714285714285715</x:v>
      </x:c>
      <x:c r="M24" s="14" t="n">
        <x:f>IF(AND('Input'!$B$41="Valid untuk hitung",'Gelombang'!H24="Valid untuk hitung",ISNUMBER(J23),ISNUMBER(K23),ISNUMBER(Q23)),M23+B24-L24,"n.a.")</x:f>
        <x:v>0</x:v>
      </x:c>
      <x:c r="N24" s="14" t="n">
        <x:f>IF(AND('Input'!$B$41="Valid untuk hitung",'Gelombang'!H24="Valid untuk hitung",ISNUMBER(J23),ISNUMBER(K23),ISNUMBER(Q23)),L24*'Input'!$B$11,"n.a.")</x:f>
        <x:v>1.2857142857142858</x:v>
      </x:c>
      <x:c r="O24" s="14" t="n">
        <x:f>IF(AND('Input'!$B$41="Valid untuk hitung",'Gelombang'!H24="Valid untuk hitung",ISNUMBER(J23),ISNUMBER(K23),ISNUMBER(Q23)),IF('Input'!$B$12=0,P23+N24,MIN(P23+N24,('Gelombang'!E24*'Input'!$B$15-'Gelombang'!G24)*60*'Input'!$B$13/'Input'!$B$12)),"n.a.")</x:f>
        <x:v>1.2857142857142858</x:v>
      </x:c>
      <x:c r="P24" s="14" t="n">
        <x:f>IF(AND('Input'!$B$41="Valid untuk hitung",'Gelombang'!H24="Valid untuk hitung",ISNUMBER(J23),ISNUMBER(K23),ISNUMBER(Q23)),P23+N24-O24,"n.a.")</x:f>
        <x:v>0</x:v>
      </x:c>
      <x:c r="Q24" s="14" t="n">
        <x:f>IF(AND('Input'!$B$41="Valid untuk hitung",'Gelombang'!H24="Valid untuk hitung",ISNUMBER(J23),ISNUMBER(K23),ISNUMBER(Q23)),M24+P24,"n.a.")</x:f>
        <x:v>0</x:v>
      </x:c>
    </x:row>
    <x:row r="25" ht="24" customHeight="1">
      <x:c r="A25" s="13" t="str">
        <x:f>TEXT('Gelombang'!A25+'Input'!$B$15/1440,"hh:mm")</x:f>
        <x:v>14:30</x:v>
      </x:c>
      <x:c r="B25" s="14" t="n">
        <x:f>'Gelombang'!B25</x:f>
        <x:v>25.714285714285715</x:v>
      </x:c>
      <x:c r="C25" s="14" t="n">
        <x:f>IF(AND('Input'!$B$41="Valid untuk hitung",'Gelombang'!H25="Valid untuk hitung",ISNUMBER(J24),ISNUMBER(K24),ISNUMBER(Q24)),MAX('Gelombang'!C25-1,0),"n.a.")</x:f>
        <x:v>5</x:v>
      </x:c>
      <x:c r="D25" s="14" t="n">
        <x:f>IF(AND('Input'!$B$41="Valid untuk hitung",'Gelombang'!H25="Valid untuk hitung",ISNUMBER(J24),ISNUMBER(K24),ISNUMBER(Q24)),MIN('Gelombang'!C25,1),"n.a.")</x:f>
        <x:v>1</x:v>
      </x:c>
      <x:c r="E25" s="14" t="n">
        <x:f>IF(AND('Input'!$B$41="Valid untuk hitung",'Gelombang'!H25="Valid untuk hitung",ISNUMBER(J24),ISNUMBER(K24),ISNUMBER(Q24)),MIN(F24+B25,C25*'Input'!$B$15*60*'Input'!$B$13/'Input'!$B$10),"n.a.")</x:f>
        <x:v>25.714285714285715</x:v>
      </x:c>
      <x:c r="F25" s="14" t="n">
        <x:f>IF(AND('Input'!$B$41="Valid untuk hitung",'Gelombang'!H25="Valid untuk hitung",ISNUMBER(J24),ISNUMBER(K24),ISNUMBER(Q24)),F24+B25-E25,"n.a.")</x:f>
        <x:v>0</x:v>
      </x:c>
      <x:c r="G25" s="14" t="n">
        <x:f>IF(AND('Input'!$B$41="Valid untuk hitung",'Gelombang'!H25="Valid untuk hitung",ISNUMBER(J24),ISNUMBER(K24),ISNUMBER(Q24)),E25*'Input'!$B$11,"n.a.")</x:f>
        <x:v>1.2857142857142858</x:v>
      </x:c>
      <x:c r="H25" s="14" t="n">
        <x:f>IF(AND('Input'!$B$41="Valid untuk hitung",'Gelombang'!H25="Valid untuk hitung",ISNUMBER(J24),ISNUMBER(K24),ISNUMBER(Q24)),IF('Input'!$B$12=0,I24+G25,MIN(I24+G25,D25*'Input'!$B$15*60*'Input'!$B$13/'Input'!$B$12)),"n.a.")</x:f>
        <x:v>1.2857142857142858</x:v>
      </x:c>
      <x:c r="I25" s="14" t="n">
        <x:f>IF(AND('Input'!$B$41="Valid untuk hitung",'Gelombang'!H25="Valid untuk hitung",ISNUMBER(J24),ISNUMBER(K24),ISNUMBER(Q24)),I24+G25-H25,"n.a.")</x:f>
        <x:v>0</x:v>
      </x:c>
      <x:c r="J25" s="14" t="n">
        <x:f>IF(AND('Input'!$B$41="Valid untuk hitung",'Gelombang'!H25="Valid untuk hitung",ISNUMBER(J24),ISNUMBER(K24),ISNUMBER(Q24)),F25+I25,"n.a.")</x:f>
        <x:v>0</x:v>
      </x:c>
      <x:c r="K25" s="14" t="n">
        <x:f>IF(AND('Input'!$B$41="Valid untuk hitung",'Gelombang'!H25="Valid untuk hitung",ISNUMBER(J24),ISNUMBER(K24),ISNUMBER(Q24)),MAX(0,K24+B25-'Gelombang'!C25*'Input'!$B$15*60*'Input'!$B$13/('Input'!$B$10+'Input'!$B$11*'Input'!$B$12)),"n.a.")</x:f>
        <x:v>0</x:v>
      </x:c>
      <x:c r="L25" s="14" t="n">
        <x:f>IF(AND('Input'!$B$41="Valid untuk hitung",'Gelombang'!H25="Valid untuk hitung",ISNUMBER(J24),ISNUMBER(K24),ISNUMBER(Q24)),MIN(M24+B25,('Gelombang'!D25*'Input'!$B$15-'Gelombang'!F25)*60*'Input'!$B$13/'Input'!$B$10),"n.a.")</x:f>
        <x:v>25.714285714285715</x:v>
      </x:c>
      <x:c r="M25" s="14" t="n">
        <x:f>IF(AND('Input'!$B$41="Valid untuk hitung",'Gelombang'!H25="Valid untuk hitung",ISNUMBER(J24),ISNUMBER(K24),ISNUMBER(Q24)),M24+B25-L25,"n.a.")</x:f>
        <x:v>0</x:v>
      </x:c>
      <x:c r="N25" s="14" t="n">
        <x:f>IF(AND('Input'!$B$41="Valid untuk hitung",'Gelombang'!H25="Valid untuk hitung",ISNUMBER(J24),ISNUMBER(K24),ISNUMBER(Q24)),L25*'Input'!$B$11,"n.a.")</x:f>
        <x:v>1.2857142857142858</x:v>
      </x:c>
      <x:c r="O25" s="14" t="n">
        <x:f>IF(AND('Input'!$B$41="Valid untuk hitung",'Gelombang'!H25="Valid untuk hitung",ISNUMBER(J24),ISNUMBER(K24),ISNUMBER(Q24)),IF('Input'!$B$12=0,P24+N25,MIN(P24+N25,('Gelombang'!E25*'Input'!$B$15-'Gelombang'!G25)*60*'Input'!$B$13/'Input'!$B$12)),"n.a.")</x:f>
        <x:v>1.2857142857142858</x:v>
      </x:c>
      <x:c r="P25" s="14" t="n">
        <x:f>IF(AND('Input'!$B$41="Valid untuk hitung",'Gelombang'!H25="Valid untuk hitung",ISNUMBER(J24),ISNUMBER(K24),ISNUMBER(Q24)),P24+N25-O25,"n.a.")</x:f>
        <x:v>0</x:v>
      </x:c>
      <x:c r="Q25" s="14" t="n">
        <x:f>IF(AND('Input'!$B$41="Valid untuk hitung",'Gelombang'!H25="Valid untuk hitung",ISNUMBER(J24),ISNUMBER(K24),ISNUMBER(Q24)),M25+P25,"n.a.")</x:f>
        <x:v>0</x:v>
      </x:c>
    </x:row>
    <x:row r="26" ht="24" customHeight="1">
      <x:c r="A26" s="13" t="str">
        <x:f>TEXT('Gelombang'!A26+'Input'!$B$15/1440,"hh:mm")</x:f>
        <x:v>14:45</x:v>
      </x:c>
      <x:c r="B26" s="14" t="n">
        <x:f>'Gelombang'!B26</x:f>
        <x:v>25.714285714285715</x:v>
      </x:c>
      <x:c r="C26" s="14" t="n">
        <x:f>IF(AND('Input'!$B$41="Valid untuk hitung",'Gelombang'!H26="Valid untuk hitung",ISNUMBER(J25),ISNUMBER(K25),ISNUMBER(Q25)),MAX('Gelombang'!C26-1,0),"n.a.")</x:f>
        <x:v>5</x:v>
      </x:c>
      <x:c r="D26" s="14" t="n">
        <x:f>IF(AND('Input'!$B$41="Valid untuk hitung",'Gelombang'!H26="Valid untuk hitung",ISNUMBER(J25),ISNUMBER(K25),ISNUMBER(Q25)),MIN('Gelombang'!C26,1),"n.a.")</x:f>
        <x:v>1</x:v>
      </x:c>
      <x:c r="E26" s="14" t="n">
        <x:f>IF(AND('Input'!$B$41="Valid untuk hitung",'Gelombang'!H26="Valid untuk hitung",ISNUMBER(J25),ISNUMBER(K25),ISNUMBER(Q25)),MIN(F25+B26,C26*'Input'!$B$15*60*'Input'!$B$13/'Input'!$B$10),"n.a.")</x:f>
        <x:v>25.714285714285715</x:v>
      </x:c>
      <x:c r="F26" s="14" t="n">
        <x:f>IF(AND('Input'!$B$41="Valid untuk hitung",'Gelombang'!H26="Valid untuk hitung",ISNUMBER(J25),ISNUMBER(K25),ISNUMBER(Q25)),F25+B26-E26,"n.a.")</x:f>
        <x:v>0</x:v>
      </x:c>
      <x:c r="G26" s="14" t="n">
        <x:f>IF(AND('Input'!$B$41="Valid untuk hitung",'Gelombang'!H26="Valid untuk hitung",ISNUMBER(J25),ISNUMBER(K25),ISNUMBER(Q25)),E26*'Input'!$B$11,"n.a.")</x:f>
        <x:v>1.2857142857142858</x:v>
      </x:c>
      <x:c r="H26" s="14" t="n">
        <x:f>IF(AND('Input'!$B$41="Valid untuk hitung",'Gelombang'!H26="Valid untuk hitung",ISNUMBER(J25),ISNUMBER(K25),ISNUMBER(Q25)),IF('Input'!$B$12=0,I25+G26,MIN(I25+G26,D26*'Input'!$B$15*60*'Input'!$B$13/'Input'!$B$12)),"n.a.")</x:f>
        <x:v>1.2857142857142858</x:v>
      </x:c>
      <x:c r="I26" s="14" t="n">
        <x:f>IF(AND('Input'!$B$41="Valid untuk hitung",'Gelombang'!H26="Valid untuk hitung",ISNUMBER(J25),ISNUMBER(K25),ISNUMBER(Q25)),I25+G26-H26,"n.a.")</x:f>
        <x:v>0</x:v>
      </x:c>
      <x:c r="J26" s="14" t="n">
        <x:f>IF(AND('Input'!$B$41="Valid untuk hitung",'Gelombang'!H26="Valid untuk hitung",ISNUMBER(J25),ISNUMBER(K25),ISNUMBER(Q25)),F26+I26,"n.a.")</x:f>
        <x:v>0</x:v>
      </x:c>
      <x:c r="K26" s="14" t="n">
        <x:f>IF(AND('Input'!$B$41="Valid untuk hitung",'Gelombang'!H26="Valid untuk hitung",ISNUMBER(J25),ISNUMBER(K25),ISNUMBER(Q25)),MAX(0,K25+B26-'Gelombang'!C26*'Input'!$B$15*60*'Input'!$B$13/('Input'!$B$10+'Input'!$B$11*'Input'!$B$12)),"n.a.")</x:f>
        <x:v>0</x:v>
      </x:c>
      <x:c r="L26" s="14" t="n">
        <x:f>IF(AND('Input'!$B$41="Valid untuk hitung",'Gelombang'!H26="Valid untuk hitung",ISNUMBER(J25),ISNUMBER(K25),ISNUMBER(Q25)),MIN(M25+B26,('Gelombang'!D26*'Input'!$B$15-'Gelombang'!F26)*60*'Input'!$B$13/'Input'!$B$10),"n.a.")</x:f>
        <x:v>25.714285714285715</x:v>
      </x:c>
      <x:c r="M26" s="14" t="n">
        <x:f>IF(AND('Input'!$B$41="Valid untuk hitung",'Gelombang'!H26="Valid untuk hitung",ISNUMBER(J25),ISNUMBER(K25),ISNUMBER(Q25)),M25+B26-L26,"n.a.")</x:f>
        <x:v>0</x:v>
      </x:c>
      <x:c r="N26" s="14" t="n">
        <x:f>IF(AND('Input'!$B$41="Valid untuk hitung",'Gelombang'!H26="Valid untuk hitung",ISNUMBER(J25),ISNUMBER(K25),ISNUMBER(Q25)),L26*'Input'!$B$11,"n.a.")</x:f>
        <x:v>1.2857142857142858</x:v>
      </x:c>
      <x:c r="O26" s="14" t="n">
        <x:f>IF(AND('Input'!$B$41="Valid untuk hitung",'Gelombang'!H26="Valid untuk hitung",ISNUMBER(J25),ISNUMBER(K25),ISNUMBER(Q25)),IF('Input'!$B$12=0,P25+N26,MIN(P25+N26,('Gelombang'!E26*'Input'!$B$15-'Gelombang'!G26)*60*'Input'!$B$13/'Input'!$B$12)),"n.a.")</x:f>
        <x:v>1.2857142857142858</x:v>
      </x:c>
      <x:c r="P26" s="14" t="n">
        <x:f>IF(AND('Input'!$B$41="Valid untuk hitung",'Gelombang'!H26="Valid untuk hitung",ISNUMBER(J25),ISNUMBER(K25),ISNUMBER(Q25)),P25+N26-O26,"n.a.")</x:f>
        <x:v>0</x:v>
      </x:c>
      <x:c r="Q26" s="14" t="n">
        <x:f>IF(AND('Input'!$B$41="Valid untuk hitung",'Gelombang'!H26="Valid untuk hitung",ISNUMBER(J25),ISNUMBER(K25),ISNUMBER(Q25)),M26+P26,"n.a.")</x:f>
        <x:v>0</x:v>
      </x:c>
    </x:row>
    <x:row r="27" ht="24" customHeight="1">
      <x:c r="A27" s="13" t="str">
        <x:f>TEXT('Gelombang'!A27+'Input'!$B$15/1440,"hh:mm")</x:f>
        <x:v>15:00</x:v>
      </x:c>
      <x:c r="B27" s="14" t="n">
        <x:f>'Gelombang'!B27</x:f>
        <x:v>25.714285714285715</x:v>
      </x:c>
      <x:c r="C27" s="14" t="n">
        <x:f>IF(AND('Input'!$B$41="Valid untuk hitung",'Gelombang'!H27="Valid untuk hitung",ISNUMBER(J26),ISNUMBER(K26),ISNUMBER(Q26)),MAX('Gelombang'!C27-1,0),"n.a.")</x:f>
        <x:v>5</x:v>
      </x:c>
      <x:c r="D27" s="14" t="n">
        <x:f>IF(AND('Input'!$B$41="Valid untuk hitung",'Gelombang'!H27="Valid untuk hitung",ISNUMBER(J26),ISNUMBER(K26),ISNUMBER(Q26)),MIN('Gelombang'!C27,1),"n.a.")</x:f>
        <x:v>1</x:v>
      </x:c>
      <x:c r="E27" s="14" t="n">
        <x:f>IF(AND('Input'!$B$41="Valid untuk hitung",'Gelombang'!H27="Valid untuk hitung",ISNUMBER(J26),ISNUMBER(K26),ISNUMBER(Q26)),MIN(F26+B27,C27*'Input'!$B$15*60*'Input'!$B$13/'Input'!$B$10),"n.a.")</x:f>
        <x:v>25.714285714285715</x:v>
      </x:c>
      <x:c r="F27" s="14" t="n">
        <x:f>IF(AND('Input'!$B$41="Valid untuk hitung",'Gelombang'!H27="Valid untuk hitung",ISNUMBER(J26),ISNUMBER(K26),ISNUMBER(Q26)),F26+B27-E27,"n.a.")</x:f>
        <x:v>0</x:v>
      </x:c>
      <x:c r="G27" s="14" t="n">
        <x:f>IF(AND('Input'!$B$41="Valid untuk hitung",'Gelombang'!H27="Valid untuk hitung",ISNUMBER(J26),ISNUMBER(K26),ISNUMBER(Q26)),E27*'Input'!$B$11,"n.a.")</x:f>
        <x:v>1.2857142857142858</x:v>
      </x:c>
      <x:c r="H27" s="14" t="n">
        <x:f>IF(AND('Input'!$B$41="Valid untuk hitung",'Gelombang'!H27="Valid untuk hitung",ISNUMBER(J26),ISNUMBER(K26),ISNUMBER(Q26)),IF('Input'!$B$12=0,I26+G27,MIN(I26+G27,D27*'Input'!$B$15*60*'Input'!$B$13/'Input'!$B$12)),"n.a.")</x:f>
        <x:v>1.2857142857142858</x:v>
      </x:c>
      <x:c r="I27" s="14" t="n">
        <x:f>IF(AND('Input'!$B$41="Valid untuk hitung",'Gelombang'!H27="Valid untuk hitung",ISNUMBER(J26),ISNUMBER(K26),ISNUMBER(Q26)),I26+G27-H27,"n.a.")</x:f>
        <x:v>0</x:v>
      </x:c>
      <x:c r="J27" s="14" t="n">
        <x:f>IF(AND('Input'!$B$41="Valid untuk hitung",'Gelombang'!H27="Valid untuk hitung",ISNUMBER(J26),ISNUMBER(K26),ISNUMBER(Q26)),F27+I27,"n.a.")</x:f>
        <x:v>0</x:v>
      </x:c>
      <x:c r="K27" s="14" t="n">
        <x:f>IF(AND('Input'!$B$41="Valid untuk hitung",'Gelombang'!H27="Valid untuk hitung",ISNUMBER(J26),ISNUMBER(K26),ISNUMBER(Q26)),MAX(0,K26+B27-'Gelombang'!C27*'Input'!$B$15*60*'Input'!$B$13/('Input'!$B$10+'Input'!$B$11*'Input'!$B$12)),"n.a.")</x:f>
        <x:v>0</x:v>
      </x:c>
      <x:c r="L27" s="14" t="n">
        <x:f>IF(AND('Input'!$B$41="Valid untuk hitung",'Gelombang'!H27="Valid untuk hitung",ISNUMBER(J26),ISNUMBER(K26),ISNUMBER(Q26)),MIN(M26+B27,('Gelombang'!D27*'Input'!$B$15-'Gelombang'!F27)*60*'Input'!$B$13/'Input'!$B$10),"n.a.")</x:f>
        <x:v>25.714285714285715</x:v>
      </x:c>
      <x:c r="M27" s="14" t="n">
        <x:f>IF(AND('Input'!$B$41="Valid untuk hitung",'Gelombang'!H27="Valid untuk hitung",ISNUMBER(J26),ISNUMBER(K26),ISNUMBER(Q26)),M26+B27-L27,"n.a.")</x:f>
        <x:v>0</x:v>
      </x:c>
      <x:c r="N27" s="14" t="n">
        <x:f>IF(AND('Input'!$B$41="Valid untuk hitung",'Gelombang'!H27="Valid untuk hitung",ISNUMBER(J26),ISNUMBER(K26),ISNUMBER(Q26)),L27*'Input'!$B$11,"n.a.")</x:f>
        <x:v>1.2857142857142858</x:v>
      </x:c>
      <x:c r="O27" s="14" t="n">
        <x:f>IF(AND('Input'!$B$41="Valid untuk hitung",'Gelombang'!H27="Valid untuk hitung",ISNUMBER(J26),ISNUMBER(K26),ISNUMBER(Q26)),IF('Input'!$B$12=0,P26+N27,MIN(P26+N27,('Gelombang'!E27*'Input'!$B$15-'Gelombang'!G27)*60*'Input'!$B$13/'Input'!$B$12)),"n.a.")</x:f>
        <x:v>1.2857142857142858</x:v>
      </x:c>
      <x:c r="P27" s="14" t="n">
        <x:f>IF(AND('Input'!$B$41="Valid untuk hitung",'Gelombang'!H27="Valid untuk hitung",ISNUMBER(J26),ISNUMBER(K26),ISNUMBER(Q26)),P26+N27-O27,"n.a.")</x:f>
        <x:v>0</x:v>
      </x:c>
      <x:c r="Q27" s="14" t="n">
        <x:f>IF(AND('Input'!$B$41="Valid untuk hitung",'Gelombang'!H27="Valid untuk hitung",ISNUMBER(J26),ISNUMBER(K26),ISNUMBER(Q26)),M27+P27,"n.a.")</x:f>
        <x:v>0</x:v>
      </x:c>
    </x:row>
    <x:row r="28" ht="24" customHeight="1">
      <x:c r="A28" s="13" t="str">
        <x:f>TEXT('Gelombang'!A28+'Input'!$B$15/1440,"hh:mm")</x:f>
        <x:v>15:15</x:v>
      </x:c>
      <x:c r="B28" s="14" t="n">
        <x:f>'Gelombang'!B28</x:f>
        <x:v>25.714285714285715</x:v>
      </x:c>
      <x:c r="C28" s="14" t="n">
        <x:f>IF(AND('Input'!$B$41="Valid untuk hitung",'Gelombang'!H28="Valid untuk hitung",ISNUMBER(J27),ISNUMBER(K27),ISNUMBER(Q27)),MAX('Gelombang'!C28-1,0),"n.a.")</x:f>
        <x:v>5</x:v>
      </x:c>
      <x:c r="D28" s="14" t="n">
        <x:f>IF(AND('Input'!$B$41="Valid untuk hitung",'Gelombang'!H28="Valid untuk hitung",ISNUMBER(J27),ISNUMBER(K27),ISNUMBER(Q27)),MIN('Gelombang'!C28,1),"n.a.")</x:f>
        <x:v>1</x:v>
      </x:c>
      <x:c r="E28" s="14" t="n">
        <x:f>IF(AND('Input'!$B$41="Valid untuk hitung",'Gelombang'!H28="Valid untuk hitung",ISNUMBER(J27),ISNUMBER(K27),ISNUMBER(Q27)),MIN(F27+B28,C28*'Input'!$B$15*60*'Input'!$B$13/'Input'!$B$10),"n.a.")</x:f>
        <x:v>25.714285714285715</x:v>
      </x:c>
      <x:c r="F28" s="14" t="n">
        <x:f>IF(AND('Input'!$B$41="Valid untuk hitung",'Gelombang'!H28="Valid untuk hitung",ISNUMBER(J27),ISNUMBER(K27),ISNUMBER(Q27)),F27+B28-E28,"n.a.")</x:f>
        <x:v>0</x:v>
      </x:c>
      <x:c r="G28" s="14" t="n">
        <x:f>IF(AND('Input'!$B$41="Valid untuk hitung",'Gelombang'!H28="Valid untuk hitung",ISNUMBER(J27),ISNUMBER(K27),ISNUMBER(Q27)),E28*'Input'!$B$11,"n.a.")</x:f>
        <x:v>1.2857142857142858</x:v>
      </x:c>
      <x:c r="H28" s="14" t="n">
        <x:f>IF(AND('Input'!$B$41="Valid untuk hitung",'Gelombang'!H28="Valid untuk hitung",ISNUMBER(J27),ISNUMBER(K27),ISNUMBER(Q27)),IF('Input'!$B$12=0,I27+G28,MIN(I27+G28,D28*'Input'!$B$15*60*'Input'!$B$13/'Input'!$B$12)),"n.a.")</x:f>
        <x:v>1.2857142857142858</x:v>
      </x:c>
      <x:c r="I28" s="14" t="n">
        <x:f>IF(AND('Input'!$B$41="Valid untuk hitung",'Gelombang'!H28="Valid untuk hitung",ISNUMBER(J27),ISNUMBER(K27),ISNUMBER(Q27)),I27+G28-H28,"n.a.")</x:f>
        <x:v>0</x:v>
      </x:c>
      <x:c r="J28" s="14" t="n">
        <x:f>IF(AND('Input'!$B$41="Valid untuk hitung",'Gelombang'!H28="Valid untuk hitung",ISNUMBER(J27),ISNUMBER(K27),ISNUMBER(Q27)),F28+I28,"n.a.")</x:f>
        <x:v>0</x:v>
      </x:c>
      <x:c r="K28" s="14" t="n">
        <x:f>IF(AND('Input'!$B$41="Valid untuk hitung",'Gelombang'!H28="Valid untuk hitung",ISNUMBER(J27),ISNUMBER(K27),ISNUMBER(Q27)),MAX(0,K27+B28-'Gelombang'!C28*'Input'!$B$15*60*'Input'!$B$13/('Input'!$B$10+'Input'!$B$11*'Input'!$B$12)),"n.a.")</x:f>
        <x:v>0</x:v>
      </x:c>
      <x:c r="L28" s="14" t="n">
        <x:f>IF(AND('Input'!$B$41="Valid untuk hitung",'Gelombang'!H28="Valid untuk hitung",ISNUMBER(J27),ISNUMBER(K27),ISNUMBER(Q27)),MIN(M27+B28,('Gelombang'!D28*'Input'!$B$15-'Gelombang'!F28)*60*'Input'!$B$13/'Input'!$B$10),"n.a.")</x:f>
        <x:v>25.714285714285715</x:v>
      </x:c>
      <x:c r="M28" s="14" t="n">
        <x:f>IF(AND('Input'!$B$41="Valid untuk hitung",'Gelombang'!H28="Valid untuk hitung",ISNUMBER(J27),ISNUMBER(K27),ISNUMBER(Q27)),M27+B28-L28,"n.a.")</x:f>
        <x:v>0</x:v>
      </x:c>
      <x:c r="N28" s="14" t="n">
        <x:f>IF(AND('Input'!$B$41="Valid untuk hitung",'Gelombang'!H28="Valid untuk hitung",ISNUMBER(J27),ISNUMBER(K27),ISNUMBER(Q27)),L28*'Input'!$B$11,"n.a.")</x:f>
        <x:v>1.2857142857142858</x:v>
      </x:c>
      <x:c r="O28" s="14" t="n">
        <x:f>IF(AND('Input'!$B$41="Valid untuk hitung",'Gelombang'!H28="Valid untuk hitung",ISNUMBER(J27),ISNUMBER(K27),ISNUMBER(Q27)),IF('Input'!$B$12=0,P27+N28,MIN(P27+N28,('Gelombang'!E28*'Input'!$B$15-'Gelombang'!G28)*60*'Input'!$B$13/'Input'!$B$12)),"n.a.")</x:f>
        <x:v>1.2857142857142858</x:v>
      </x:c>
      <x:c r="P28" s="14" t="n">
        <x:f>IF(AND('Input'!$B$41="Valid untuk hitung",'Gelombang'!H28="Valid untuk hitung",ISNUMBER(J27),ISNUMBER(K27),ISNUMBER(Q27)),P27+N28-O28,"n.a.")</x:f>
        <x:v>0</x:v>
      </x:c>
      <x:c r="Q28" s="14" t="n">
        <x:f>IF(AND('Input'!$B$41="Valid untuk hitung",'Gelombang'!H28="Valid untuk hitung",ISNUMBER(J27),ISNUMBER(K27),ISNUMBER(Q27)),M28+P28,"n.a.")</x:f>
        <x:v>0</x:v>
      </x:c>
    </x:row>
    <x:row r="29" ht="24" customHeight="1">
      <x:c r="A29" s="13" t="str">
        <x:f>TEXT('Gelombang'!A29+'Input'!$B$15/1440,"hh:mm")</x:f>
        <x:v>15:30</x:v>
      </x:c>
      <x:c r="B29" s="14" t="n">
        <x:f>'Gelombang'!B29</x:f>
        <x:v>25.714285714285715</x:v>
      </x:c>
      <x:c r="C29" s="14" t="n">
        <x:f>IF(AND('Input'!$B$41="Valid untuk hitung",'Gelombang'!H29="Valid untuk hitung",ISNUMBER(J28),ISNUMBER(K28),ISNUMBER(Q28)),MAX('Gelombang'!C29-1,0),"n.a.")</x:f>
        <x:v>5</x:v>
      </x:c>
      <x:c r="D29" s="14" t="n">
        <x:f>IF(AND('Input'!$B$41="Valid untuk hitung",'Gelombang'!H29="Valid untuk hitung",ISNUMBER(J28),ISNUMBER(K28),ISNUMBER(Q28)),MIN('Gelombang'!C29,1),"n.a.")</x:f>
        <x:v>1</x:v>
      </x:c>
      <x:c r="E29" s="14" t="n">
        <x:f>IF(AND('Input'!$B$41="Valid untuk hitung",'Gelombang'!H29="Valid untuk hitung",ISNUMBER(J28),ISNUMBER(K28),ISNUMBER(Q28)),MIN(F28+B29,C29*'Input'!$B$15*60*'Input'!$B$13/'Input'!$B$10),"n.a.")</x:f>
        <x:v>25.714285714285715</x:v>
      </x:c>
      <x:c r="F29" s="14" t="n">
        <x:f>IF(AND('Input'!$B$41="Valid untuk hitung",'Gelombang'!H29="Valid untuk hitung",ISNUMBER(J28),ISNUMBER(K28),ISNUMBER(Q28)),F28+B29-E29,"n.a.")</x:f>
        <x:v>0</x:v>
      </x:c>
      <x:c r="G29" s="14" t="n">
        <x:f>IF(AND('Input'!$B$41="Valid untuk hitung",'Gelombang'!H29="Valid untuk hitung",ISNUMBER(J28),ISNUMBER(K28),ISNUMBER(Q28)),E29*'Input'!$B$11,"n.a.")</x:f>
        <x:v>1.2857142857142858</x:v>
      </x:c>
      <x:c r="H29" s="14" t="n">
        <x:f>IF(AND('Input'!$B$41="Valid untuk hitung",'Gelombang'!H29="Valid untuk hitung",ISNUMBER(J28),ISNUMBER(K28),ISNUMBER(Q28)),IF('Input'!$B$12=0,I28+G29,MIN(I28+G29,D29*'Input'!$B$15*60*'Input'!$B$13/'Input'!$B$12)),"n.a.")</x:f>
        <x:v>1.2857142857142858</x:v>
      </x:c>
      <x:c r="I29" s="14" t="n">
        <x:f>IF(AND('Input'!$B$41="Valid untuk hitung",'Gelombang'!H29="Valid untuk hitung",ISNUMBER(J28),ISNUMBER(K28),ISNUMBER(Q28)),I28+G29-H29,"n.a.")</x:f>
        <x:v>0</x:v>
      </x:c>
      <x:c r="J29" s="14" t="n">
        <x:f>IF(AND('Input'!$B$41="Valid untuk hitung",'Gelombang'!H29="Valid untuk hitung",ISNUMBER(J28),ISNUMBER(K28),ISNUMBER(Q28)),F29+I29,"n.a.")</x:f>
        <x:v>0</x:v>
      </x:c>
      <x:c r="K29" s="14" t="n">
        <x:f>IF(AND('Input'!$B$41="Valid untuk hitung",'Gelombang'!H29="Valid untuk hitung",ISNUMBER(J28),ISNUMBER(K28),ISNUMBER(Q28)),MAX(0,K28+B29-'Gelombang'!C29*'Input'!$B$15*60*'Input'!$B$13/('Input'!$B$10+'Input'!$B$11*'Input'!$B$12)),"n.a.")</x:f>
        <x:v>0</x:v>
      </x:c>
      <x:c r="L29" s="14" t="n">
        <x:f>IF(AND('Input'!$B$41="Valid untuk hitung",'Gelombang'!H29="Valid untuk hitung",ISNUMBER(J28),ISNUMBER(K28),ISNUMBER(Q28)),MIN(M28+B29,('Gelombang'!D29*'Input'!$B$15-'Gelombang'!F29)*60*'Input'!$B$13/'Input'!$B$10),"n.a.")</x:f>
        <x:v>25.714285714285715</x:v>
      </x:c>
      <x:c r="M29" s="14" t="n">
        <x:f>IF(AND('Input'!$B$41="Valid untuk hitung",'Gelombang'!H29="Valid untuk hitung",ISNUMBER(J28),ISNUMBER(K28),ISNUMBER(Q28)),M28+B29-L29,"n.a.")</x:f>
        <x:v>0</x:v>
      </x:c>
      <x:c r="N29" s="14" t="n">
        <x:f>IF(AND('Input'!$B$41="Valid untuk hitung",'Gelombang'!H29="Valid untuk hitung",ISNUMBER(J28),ISNUMBER(K28),ISNUMBER(Q28)),L29*'Input'!$B$11,"n.a.")</x:f>
        <x:v>1.2857142857142858</x:v>
      </x:c>
      <x:c r="O29" s="14" t="n">
        <x:f>IF(AND('Input'!$B$41="Valid untuk hitung",'Gelombang'!H29="Valid untuk hitung",ISNUMBER(J28),ISNUMBER(K28),ISNUMBER(Q28)),IF('Input'!$B$12=0,P28+N29,MIN(P28+N29,('Gelombang'!E29*'Input'!$B$15-'Gelombang'!G29)*60*'Input'!$B$13/'Input'!$B$12)),"n.a.")</x:f>
        <x:v>1.2857142857142858</x:v>
      </x:c>
      <x:c r="P29" s="14" t="n">
        <x:f>IF(AND('Input'!$B$41="Valid untuk hitung",'Gelombang'!H29="Valid untuk hitung",ISNUMBER(J28),ISNUMBER(K28),ISNUMBER(Q28)),P28+N29-O29,"n.a.")</x:f>
        <x:v>0</x:v>
      </x:c>
      <x:c r="Q29" s="14" t="n">
        <x:f>IF(AND('Input'!$B$41="Valid untuk hitung",'Gelombang'!H29="Valid untuk hitung",ISNUMBER(J28),ISNUMBER(K28),ISNUMBER(Q28)),M29+P29,"n.a.")</x:f>
        <x:v>0</x:v>
      </x:c>
    </x:row>
    <x:row r="30" ht="24" customHeight="1">
      <x:c r="A30" s="13" t="str">
        <x:f>TEXT('Gelombang'!A30+'Input'!$B$15/1440,"hh:mm")</x:f>
        <x:v>15:45</x:v>
      </x:c>
      <x:c r="B30" s="14" t="n">
        <x:f>'Gelombang'!B30</x:f>
        <x:v>25.714285714285715</x:v>
      </x:c>
      <x:c r="C30" s="14" t="n">
        <x:f>IF(AND('Input'!$B$41="Valid untuk hitung",'Gelombang'!H30="Valid untuk hitung",ISNUMBER(J29),ISNUMBER(K29),ISNUMBER(Q29)),MAX('Gelombang'!C30-1,0),"n.a.")</x:f>
        <x:v>5</x:v>
      </x:c>
      <x:c r="D30" s="14" t="n">
        <x:f>IF(AND('Input'!$B$41="Valid untuk hitung",'Gelombang'!H30="Valid untuk hitung",ISNUMBER(J29),ISNUMBER(K29),ISNUMBER(Q29)),MIN('Gelombang'!C30,1),"n.a.")</x:f>
        <x:v>1</x:v>
      </x:c>
      <x:c r="E30" s="14" t="n">
        <x:f>IF(AND('Input'!$B$41="Valid untuk hitung",'Gelombang'!H30="Valid untuk hitung",ISNUMBER(J29),ISNUMBER(K29),ISNUMBER(Q29)),MIN(F29+B30,C30*'Input'!$B$15*60*'Input'!$B$13/'Input'!$B$10),"n.a.")</x:f>
        <x:v>25.714285714285715</x:v>
      </x:c>
      <x:c r="F30" s="14" t="n">
        <x:f>IF(AND('Input'!$B$41="Valid untuk hitung",'Gelombang'!H30="Valid untuk hitung",ISNUMBER(J29),ISNUMBER(K29),ISNUMBER(Q29)),F29+B30-E30,"n.a.")</x:f>
        <x:v>0</x:v>
      </x:c>
      <x:c r="G30" s="14" t="n">
        <x:f>IF(AND('Input'!$B$41="Valid untuk hitung",'Gelombang'!H30="Valid untuk hitung",ISNUMBER(J29),ISNUMBER(K29),ISNUMBER(Q29)),E30*'Input'!$B$11,"n.a.")</x:f>
        <x:v>1.2857142857142858</x:v>
      </x:c>
      <x:c r="H30" s="14" t="n">
        <x:f>IF(AND('Input'!$B$41="Valid untuk hitung",'Gelombang'!H30="Valid untuk hitung",ISNUMBER(J29),ISNUMBER(K29),ISNUMBER(Q29)),IF('Input'!$B$12=0,I29+G30,MIN(I29+G30,D30*'Input'!$B$15*60*'Input'!$B$13/'Input'!$B$12)),"n.a.")</x:f>
        <x:v>1.2857142857142858</x:v>
      </x:c>
      <x:c r="I30" s="14" t="n">
        <x:f>IF(AND('Input'!$B$41="Valid untuk hitung",'Gelombang'!H30="Valid untuk hitung",ISNUMBER(J29),ISNUMBER(K29),ISNUMBER(Q29)),I29+G30-H30,"n.a.")</x:f>
        <x:v>0</x:v>
      </x:c>
      <x:c r="J30" s="14" t="n">
        <x:f>IF(AND('Input'!$B$41="Valid untuk hitung",'Gelombang'!H30="Valid untuk hitung",ISNUMBER(J29),ISNUMBER(K29),ISNUMBER(Q29)),F30+I30,"n.a.")</x:f>
        <x:v>0</x:v>
      </x:c>
      <x:c r="K30" s="14" t="n">
        <x:f>IF(AND('Input'!$B$41="Valid untuk hitung",'Gelombang'!H30="Valid untuk hitung",ISNUMBER(J29),ISNUMBER(K29),ISNUMBER(Q29)),MAX(0,K29+B30-'Gelombang'!C30*'Input'!$B$15*60*'Input'!$B$13/('Input'!$B$10+'Input'!$B$11*'Input'!$B$12)),"n.a.")</x:f>
        <x:v>0</x:v>
      </x:c>
      <x:c r="L30" s="14" t="n">
        <x:f>IF(AND('Input'!$B$41="Valid untuk hitung",'Gelombang'!H30="Valid untuk hitung",ISNUMBER(J29),ISNUMBER(K29),ISNUMBER(Q29)),MIN(M29+B30,('Gelombang'!D30*'Input'!$B$15-'Gelombang'!F30)*60*'Input'!$B$13/'Input'!$B$10),"n.a.")</x:f>
        <x:v>25.714285714285715</x:v>
      </x:c>
      <x:c r="M30" s="14" t="n">
        <x:f>IF(AND('Input'!$B$41="Valid untuk hitung",'Gelombang'!H30="Valid untuk hitung",ISNUMBER(J29),ISNUMBER(K29),ISNUMBER(Q29)),M29+B30-L30,"n.a.")</x:f>
        <x:v>0</x:v>
      </x:c>
      <x:c r="N30" s="14" t="n">
        <x:f>IF(AND('Input'!$B$41="Valid untuk hitung",'Gelombang'!H30="Valid untuk hitung",ISNUMBER(J29),ISNUMBER(K29),ISNUMBER(Q29)),L30*'Input'!$B$11,"n.a.")</x:f>
        <x:v>1.2857142857142858</x:v>
      </x:c>
      <x:c r="O30" s="14" t="n">
        <x:f>IF(AND('Input'!$B$41="Valid untuk hitung",'Gelombang'!H30="Valid untuk hitung",ISNUMBER(J29),ISNUMBER(K29),ISNUMBER(Q29)),IF('Input'!$B$12=0,P29+N30,MIN(P29+N30,('Gelombang'!E30*'Input'!$B$15-'Gelombang'!G30)*60*'Input'!$B$13/'Input'!$B$12)),"n.a.")</x:f>
        <x:v>1.2857142857142858</x:v>
      </x:c>
      <x:c r="P30" s="14" t="n">
        <x:f>IF(AND('Input'!$B$41="Valid untuk hitung",'Gelombang'!H30="Valid untuk hitung",ISNUMBER(J29),ISNUMBER(K29),ISNUMBER(Q29)),P29+N30-O30,"n.a.")</x:f>
        <x:v>0</x:v>
      </x:c>
      <x:c r="Q30" s="14" t="n">
        <x:f>IF(AND('Input'!$B$41="Valid untuk hitung",'Gelombang'!H30="Valid untuk hitung",ISNUMBER(J29),ISNUMBER(K29),ISNUMBER(Q29)),M30+P30,"n.a.")</x:f>
        <x:v>0</x:v>
      </x:c>
    </x:row>
    <x:row r="31" ht="24" customHeight="1">
      <x:c r="A31" s="13" t="str">
        <x:f>TEXT('Gelombang'!A31+'Input'!$B$15/1440,"hh:mm")</x:f>
        <x:v>16:00</x:v>
      </x:c>
      <x:c r="B31" s="14" t="n">
        <x:f>'Gelombang'!B31</x:f>
        <x:v>25.714285714285715</x:v>
      </x:c>
      <x:c r="C31" s="14" t="n">
        <x:f>IF(AND('Input'!$B$41="Valid untuk hitung",'Gelombang'!H31="Valid untuk hitung",ISNUMBER(J30),ISNUMBER(K30),ISNUMBER(Q30)),MAX('Gelombang'!C31-1,0),"n.a.")</x:f>
        <x:v>5</x:v>
      </x:c>
      <x:c r="D31" s="14" t="n">
        <x:f>IF(AND('Input'!$B$41="Valid untuk hitung",'Gelombang'!H31="Valid untuk hitung",ISNUMBER(J30),ISNUMBER(K30),ISNUMBER(Q30)),MIN('Gelombang'!C31,1),"n.a.")</x:f>
        <x:v>1</x:v>
      </x:c>
      <x:c r="E31" s="14" t="n">
        <x:f>IF(AND('Input'!$B$41="Valid untuk hitung",'Gelombang'!H31="Valid untuk hitung",ISNUMBER(J30),ISNUMBER(K30),ISNUMBER(Q30)),MIN(F30+B31,C31*'Input'!$B$15*60*'Input'!$B$13/'Input'!$B$10),"n.a.")</x:f>
        <x:v>25.714285714285715</x:v>
      </x:c>
      <x:c r="F31" s="14" t="n">
        <x:f>IF(AND('Input'!$B$41="Valid untuk hitung",'Gelombang'!H31="Valid untuk hitung",ISNUMBER(J30),ISNUMBER(K30),ISNUMBER(Q30)),F30+B31-E31,"n.a.")</x:f>
        <x:v>0</x:v>
      </x:c>
      <x:c r="G31" s="14" t="n">
        <x:f>IF(AND('Input'!$B$41="Valid untuk hitung",'Gelombang'!H31="Valid untuk hitung",ISNUMBER(J30),ISNUMBER(K30),ISNUMBER(Q30)),E31*'Input'!$B$11,"n.a.")</x:f>
        <x:v>1.2857142857142858</x:v>
      </x:c>
      <x:c r="H31" s="14" t="n">
        <x:f>IF(AND('Input'!$B$41="Valid untuk hitung",'Gelombang'!H31="Valid untuk hitung",ISNUMBER(J30),ISNUMBER(K30),ISNUMBER(Q30)),IF('Input'!$B$12=0,I30+G31,MIN(I30+G31,D31*'Input'!$B$15*60*'Input'!$B$13/'Input'!$B$12)),"n.a.")</x:f>
        <x:v>1.2857142857142858</x:v>
      </x:c>
      <x:c r="I31" s="14" t="n">
        <x:f>IF(AND('Input'!$B$41="Valid untuk hitung",'Gelombang'!H31="Valid untuk hitung",ISNUMBER(J30),ISNUMBER(K30),ISNUMBER(Q30)),I30+G31-H31,"n.a.")</x:f>
        <x:v>0</x:v>
      </x:c>
      <x:c r="J31" s="14" t="n">
        <x:f>IF(AND('Input'!$B$41="Valid untuk hitung",'Gelombang'!H31="Valid untuk hitung",ISNUMBER(J30),ISNUMBER(K30),ISNUMBER(Q30)),F31+I31,"n.a.")</x:f>
        <x:v>0</x:v>
      </x:c>
      <x:c r="K31" s="14" t="n">
        <x:f>IF(AND('Input'!$B$41="Valid untuk hitung",'Gelombang'!H31="Valid untuk hitung",ISNUMBER(J30),ISNUMBER(K30),ISNUMBER(Q30)),MAX(0,K30+B31-'Gelombang'!C31*'Input'!$B$15*60*'Input'!$B$13/('Input'!$B$10+'Input'!$B$11*'Input'!$B$12)),"n.a.")</x:f>
        <x:v>0</x:v>
      </x:c>
      <x:c r="L31" s="14" t="n">
        <x:f>IF(AND('Input'!$B$41="Valid untuk hitung",'Gelombang'!H31="Valid untuk hitung",ISNUMBER(J30),ISNUMBER(K30),ISNUMBER(Q30)),MIN(M30+B31,('Gelombang'!D31*'Input'!$B$15-'Gelombang'!F31)*60*'Input'!$B$13/'Input'!$B$10),"n.a.")</x:f>
        <x:v>25.714285714285715</x:v>
      </x:c>
      <x:c r="M31" s="14" t="n">
        <x:f>IF(AND('Input'!$B$41="Valid untuk hitung",'Gelombang'!H31="Valid untuk hitung",ISNUMBER(J30),ISNUMBER(K30),ISNUMBER(Q30)),M30+B31-L31,"n.a.")</x:f>
        <x:v>0</x:v>
      </x:c>
      <x:c r="N31" s="14" t="n">
        <x:f>IF(AND('Input'!$B$41="Valid untuk hitung",'Gelombang'!H31="Valid untuk hitung",ISNUMBER(J30),ISNUMBER(K30),ISNUMBER(Q30)),L31*'Input'!$B$11,"n.a.")</x:f>
        <x:v>1.2857142857142858</x:v>
      </x:c>
      <x:c r="O31" s="14" t="n">
        <x:f>IF(AND('Input'!$B$41="Valid untuk hitung",'Gelombang'!H31="Valid untuk hitung",ISNUMBER(J30),ISNUMBER(K30),ISNUMBER(Q30)),IF('Input'!$B$12=0,P30+N31,MIN(P30+N31,('Gelombang'!E31*'Input'!$B$15-'Gelombang'!G31)*60*'Input'!$B$13/'Input'!$B$12)),"n.a.")</x:f>
        <x:v>1.2857142857142858</x:v>
      </x:c>
      <x:c r="P31" s="14" t="n">
        <x:f>IF(AND('Input'!$B$41="Valid untuk hitung",'Gelombang'!H31="Valid untuk hitung",ISNUMBER(J30),ISNUMBER(K30),ISNUMBER(Q30)),P30+N31-O31,"n.a.")</x:f>
        <x:v>0</x:v>
      </x:c>
      <x:c r="Q31" s="14" t="n">
        <x:f>IF(AND('Input'!$B$41="Valid untuk hitung",'Gelombang'!H31="Valid untuk hitung",ISNUMBER(J30),ISNUMBER(K30),ISNUMBER(Q30)),M31+P31,"n.a.")</x:f>
        <x:v>0</x:v>
      </x:c>
    </x:row>
    <x:row r="32" ht="24" customHeight="1">
      <x:c r="A32" s="13" t="str">
        <x:f>TEXT('Gelombang'!A32+'Input'!$B$15/1440,"hh:mm")</x:f>
        <x:v>16:15</x:v>
      </x:c>
      <x:c r="B32" s="14" t="n">
        <x:f>'Gelombang'!B32</x:f>
        <x:v>25.714285714285715</x:v>
      </x:c>
      <x:c r="C32" s="14" t="n">
        <x:f>IF(AND('Input'!$B$41="Valid untuk hitung",'Gelombang'!H32="Valid untuk hitung",ISNUMBER(J31),ISNUMBER(K31),ISNUMBER(Q31)),MAX('Gelombang'!C32-1,0),"n.a.")</x:f>
        <x:v>5</x:v>
      </x:c>
      <x:c r="D32" s="14" t="n">
        <x:f>IF(AND('Input'!$B$41="Valid untuk hitung",'Gelombang'!H32="Valid untuk hitung",ISNUMBER(J31),ISNUMBER(K31),ISNUMBER(Q31)),MIN('Gelombang'!C32,1),"n.a.")</x:f>
        <x:v>1</x:v>
      </x:c>
      <x:c r="E32" s="14" t="n">
        <x:f>IF(AND('Input'!$B$41="Valid untuk hitung",'Gelombang'!H32="Valid untuk hitung",ISNUMBER(J31),ISNUMBER(K31),ISNUMBER(Q31)),MIN(F31+B32,C32*'Input'!$B$15*60*'Input'!$B$13/'Input'!$B$10),"n.a.")</x:f>
        <x:v>25.714285714285715</x:v>
      </x:c>
      <x:c r="F32" s="14" t="n">
        <x:f>IF(AND('Input'!$B$41="Valid untuk hitung",'Gelombang'!H32="Valid untuk hitung",ISNUMBER(J31),ISNUMBER(K31),ISNUMBER(Q31)),F31+B32-E32,"n.a.")</x:f>
        <x:v>0</x:v>
      </x:c>
      <x:c r="G32" s="14" t="n">
        <x:f>IF(AND('Input'!$B$41="Valid untuk hitung",'Gelombang'!H32="Valid untuk hitung",ISNUMBER(J31),ISNUMBER(K31),ISNUMBER(Q31)),E32*'Input'!$B$11,"n.a.")</x:f>
        <x:v>1.2857142857142858</x:v>
      </x:c>
      <x:c r="H32" s="14" t="n">
        <x:f>IF(AND('Input'!$B$41="Valid untuk hitung",'Gelombang'!H32="Valid untuk hitung",ISNUMBER(J31),ISNUMBER(K31),ISNUMBER(Q31)),IF('Input'!$B$12=0,I31+G32,MIN(I31+G32,D32*'Input'!$B$15*60*'Input'!$B$13/'Input'!$B$12)),"n.a.")</x:f>
        <x:v>1.2857142857142858</x:v>
      </x:c>
      <x:c r="I32" s="14" t="n">
        <x:f>IF(AND('Input'!$B$41="Valid untuk hitung",'Gelombang'!H32="Valid untuk hitung",ISNUMBER(J31),ISNUMBER(K31),ISNUMBER(Q31)),I31+G32-H32,"n.a.")</x:f>
        <x:v>0</x:v>
      </x:c>
      <x:c r="J32" s="14" t="n">
        <x:f>IF(AND('Input'!$B$41="Valid untuk hitung",'Gelombang'!H32="Valid untuk hitung",ISNUMBER(J31),ISNUMBER(K31),ISNUMBER(Q31)),F32+I32,"n.a.")</x:f>
        <x:v>0</x:v>
      </x:c>
      <x:c r="K32" s="14" t="n">
        <x:f>IF(AND('Input'!$B$41="Valid untuk hitung",'Gelombang'!H32="Valid untuk hitung",ISNUMBER(J31),ISNUMBER(K31),ISNUMBER(Q31)),MAX(0,K31+B32-'Gelombang'!C32*'Input'!$B$15*60*'Input'!$B$13/('Input'!$B$10+'Input'!$B$11*'Input'!$B$12)),"n.a.")</x:f>
        <x:v>0</x:v>
      </x:c>
      <x:c r="L32" s="14" t="n">
        <x:f>IF(AND('Input'!$B$41="Valid untuk hitung",'Gelombang'!H32="Valid untuk hitung",ISNUMBER(J31),ISNUMBER(K31),ISNUMBER(Q31)),MIN(M31+B32,('Gelombang'!D32*'Input'!$B$15-'Gelombang'!F32)*60*'Input'!$B$13/'Input'!$B$10),"n.a.")</x:f>
        <x:v>25.714285714285715</x:v>
      </x:c>
      <x:c r="M32" s="14" t="n">
        <x:f>IF(AND('Input'!$B$41="Valid untuk hitung",'Gelombang'!H32="Valid untuk hitung",ISNUMBER(J31),ISNUMBER(K31),ISNUMBER(Q31)),M31+B32-L32,"n.a.")</x:f>
        <x:v>0</x:v>
      </x:c>
      <x:c r="N32" s="14" t="n">
        <x:f>IF(AND('Input'!$B$41="Valid untuk hitung",'Gelombang'!H32="Valid untuk hitung",ISNUMBER(J31),ISNUMBER(K31),ISNUMBER(Q31)),L32*'Input'!$B$11,"n.a.")</x:f>
        <x:v>1.2857142857142858</x:v>
      </x:c>
      <x:c r="O32" s="14" t="n">
        <x:f>IF(AND('Input'!$B$41="Valid untuk hitung",'Gelombang'!H32="Valid untuk hitung",ISNUMBER(J31),ISNUMBER(K31),ISNUMBER(Q31)),IF('Input'!$B$12=0,P31+N32,MIN(P31+N32,('Gelombang'!E32*'Input'!$B$15-'Gelombang'!G32)*60*'Input'!$B$13/'Input'!$B$12)),"n.a.")</x:f>
        <x:v>1.2857142857142858</x:v>
      </x:c>
      <x:c r="P32" s="14" t="n">
        <x:f>IF(AND('Input'!$B$41="Valid untuk hitung",'Gelombang'!H32="Valid untuk hitung",ISNUMBER(J31),ISNUMBER(K31),ISNUMBER(Q31)),P31+N32-O32,"n.a.")</x:f>
        <x:v>0</x:v>
      </x:c>
      <x:c r="Q32" s="14" t="n">
        <x:f>IF(AND('Input'!$B$41="Valid untuk hitung",'Gelombang'!H32="Valid untuk hitung",ISNUMBER(J31),ISNUMBER(K31),ISNUMBER(Q31)),M32+P32,"n.a.")</x:f>
        <x:v>0</x:v>
      </x:c>
    </x:row>
    <x:row r="33" ht="24" customHeight="1">
      <x:c r="A33" s="13" t="str">
        <x:f>TEXT('Gelombang'!A33+'Input'!$B$15/1440,"hh:mm")</x:f>
        <x:v>16:30</x:v>
      </x:c>
      <x:c r="B33" s="14" t="n">
        <x:f>'Gelombang'!B33</x:f>
        <x:v>25.714285714285715</x:v>
      </x:c>
      <x:c r="C33" s="14" t="n">
        <x:f>IF(AND('Input'!$B$41="Valid untuk hitung",'Gelombang'!H33="Valid untuk hitung",ISNUMBER(J32),ISNUMBER(K32),ISNUMBER(Q32)),MAX('Gelombang'!C33-1,0),"n.a.")</x:f>
        <x:v>5</x:v>
      </x:c>
      <x:c r="D33" s="14" t="n">
        <x:f>IF(AND('Input'!$B$41="Valid untuk hitung",'Gelombang'!H33="Valid untuk hitung",ISNUMBER(J32),ISNUMBER(K32),ISNUMBER(Q32)),MIN('Gelombang'!C33,1),"n.a.")</x:f>
        <x:v>1</x:v>
      </x:c>
      <x:c r="E33" s="14" t="n">
        <x:f>IF(AND('Input'!$B$41="Valid untuk hitung",'Gelombang'!H33="Valid untuk hitung",ISNUMBER(J32),ISNUMBER(K32),ISNUMBER(Q32)),MIN(F32+B33,C33*'Input'!$B$15*60*'Input'!$B$13/'Input'!$B$10),"n.a.")</x:f>
        <x:v>25.714285714285715</x:v>
      </x:c>
      <x:c r="F33" s="14" t="n">
        <x:f>IF(AND('Input'!$B$41="Valid untuk hitung",'Gelombang'!H33="Valid untuk hitung",ISNUMBER(J32),ISNUMBER(K32),ISNUMBER(Q32)),F32+B33-E33,"n.a.")</x:f>
        <x:v>0</x:v>
      </x:c>
      <x:c r="G33" s="14" t="n">
        <x:f>IF(AND('Input'!$B$41="Valid untuk hitung",'Gelombang'!H33="Valid untuk hitung",ISNUMBER(J32),ISNUMBER(K32),ISNUMBER(Q32)),E33*'Input'!$B$11,"n.a.")</x:f>
        <x:v>1.2857142857142858</x:v>
      </x:c>
      <x:c r="H33" s="14" t="n">
        <x:f>IF(AND('Input'!$B$41="Valid untuk hitung",'Gelombang'!H33="Valid untuk hitung",ISNUMBER(J32),ISNUMBER(K32),ISNUMBER(Q32)),IF('Input'!$B$12=0,I32+G33,MIN(I32+G33,D33*'Input'!$B$15*60*'Input'!$B$13/'Input'!$B$12)),"n.a.")</x:f>
        <x:v>1.2857142857142858</x:v>
      </x:c>
      <x:c r="I33" s="14" t="n">
        <x:f>IF(AND('Input'!$B$41="Valid untuk hitung",'Gelombang'!H33="Valid untuk hitung",ISNUMBER(J32),ISNUMBER(K32),ISNUMBER(Q32)),I32+G33-H33,"n.a.")</x:f>
        <x:v>0</x:v>
      </x:c>
      <x:c r="J33" s="14" t="n">
        <x:f>IF(AND('Input'!$B$41="Valid untuk hitung",'Gelombang'!H33="Valid untuk hitung",ISNUMBER(J32),ISNUMBER(K32),ISNUMBER(Q32)),F33+I33,"n.a.")</x:f>
        <x:v>0</x:v>
      </x:c>
      <x:c r="K33" s="14" t="n">
        <x:f>IF(AND('Input'!$B$41="Valid untuk hitung",'Gelombang'!H33="Valid untuk hitung",ISNUMBER(J32),ISNUMBER(K32),ISNUMBER(Q32)),MAX(0,K32+B33-'Gelombang'!C33*'Input'!$B$15*60*'Input'!$B$13/('Input'!$B$10+'Input'!$B$11*'Input'!$B$12)),"n.a.")</x:f>
        <x:v>0</x:v>
      </x:c>
      <x:c r="L33" s="14" t="n">
        <x:f>IF(AND('Input'!$B$41="Valid untuk hitung",'Gelombang'!H33="Valid untuk hitung",ISNUMBER(J32),ISNUMBER(K32),ISNUMBER(Q32)),MIN(M32+B33,('Gelombang'!D33*'Input'!$B$15-'Gelombang'!F33)*60*'Input'!$B$13/'Input'!$B$10),"n.a.")</x:f>
        <x:v>25.714285714285715</x:v>
      </x:c>
      <x:c r="M33" s="14" t="n">
        <x:f>IF(AND('Input'!$B$41="Valid untuk hitung",'Gelombang'!H33="Valid untuk hitung",ISNUMBER(J32),ISNUMBER(K32),ISNUMBER(Q32)),M32+B33-L33,"n.a.")</x:f>
        <x:v>0</x:v>
      </x:c>
      <x:c r="N33" s="14" t="n">
        <x:f>IF(AND('Input'!$B$41="Valid untuk hitung",'Gelombang'!H33="Valid untuk hitung",ISNUMBER(J32),ISNUMBER(K32),ISNUMBER(Q32)),L33*'Input'!$B$11,"n.a.")</x:f>
        <x:v>1.2857142857142858</x:v>
      </x:c>
      <x:c r="O33" s="14" t="n">
        <x:f>IF(AND('Input'!$B$41="Valid untuk hitung",'Gelombang'!H33="Valid untuk hitung",ISNUMBER(J32),ISNUMBER(K32),ISNUMBER(Q32)),IF('Input'!$B$12=0,P32+N33,MIN(P32+N33,('Gelombang'!E33*'Input'!$B$15-'Gelombang'!G33)*60*'Input'!$B$13/'Input'!$B$12)),"n.a.")</x:f>
        <x:v>1.2857142857142858</x:v>
      </x:c>
      <x:c r="P33" s="14" t="n">
        <x:f>IF(AND('Input'!$B$41="Valid untuk hitung",'Gelombang'!H33="Valid untuk hitung",ISNUMBER(J32),ISNUMBER(K32),ISNUMBER(Q32)),P32+N33-O33,"n.a.")</x:f>
        <x:v>0</x:v>
      </x:c>
      <x:c r="Q33" s="14" t="n">
        <x:f>IF(AND('Input'!$B$41="Valid untuk hitung",'Gelombang'!H33="Valid untuk hitung",ISNUMBER(J32),ISNUMBER(K32),ISNUMBER(Q32)),M33+P33,"n.a.")</x:f>
        <x:v>0</x:v>
      </x:c>
    </x:row>
    <x:row r="34" ht="24" customHeight="1">
      <x:c r="A34" s="13" t="str">
        <x:f>TEXT('Gelombang'!A34+'Input'!$B$15/1440,"hh:mm")</x:f>
        <x:v>16:45</x:v>
      </x:c>
      <x:c r="B34" s="14" t="n">
        <x:f>'Gelombang'!B34</x:f>
        <x:v>25.714285714285715</x:v>
      </x:c>
      <x:c r="C34" s="14" t="n">
        <x:f>IF(AND('Input'!$B$41="Valid untuk hitung",'Gelombang'!H34="Valid untuk hitung",ISNUMBER(J33),ISNUMBER(K33),ISNUMBER(Q33)),MAX('Gelombang'!C34-1,0),"n.a.")</x:f>
        <x:v>5</x:v>
      </x:c>
      <x:c r="D34" s="14" t="n">
        <x:f>IF(AND('Input'!$B$41="Valid untuk hitung",'Gelombang'!H34="Valid untuk hitung",ISNUMBER(J33),ISNUMBER(K33),ISNUMBER(Q33)),MIN('Gelombang'!C34,1),"n.a.")</x:f>
        <x:v>1</x:v>
      </x:c>
      <x:c r="E34" s="14" t="n">
        <x:f>IF(AND('Input'!$B$41="Valid untuk hitung",'Gelombang'!H34="Valid untuk hitung",ISNUMBER(J33),ISNUMBER(K33),ISNUMBER(Q33)),MIN(F33+B34,C34*'Input'!$B$15*60*'Input'!$B$13/'Input'!$B$10),"n.a.")</x:f>
        <x:v>25.714285714285715</x:v>
      </x:c>
      <x:c r="F34" s="14" t="n">
        <x:f>IF(AND('Input'!$B$41="Valid untuk hitung",'Gelombang'!H34="Valid untuk hitung",ISNUMBER(J33),ISNUMBER(K33),ISNUMBER(Q33)),F33+B34-E34,"n.a.")</x:f>
        <x:v>0</x:v>
      </x:c>
      <x:c r="G34" s="14" t="n">
        <x:f>IF(AND('Input'!$B$41="Valid untuk hitung",'Gelombang'!H34="Valid untuk hitung",ISNUMBER(J33),ISNUMBER(K33),ISNUMBER(Q33)),E34*'Input'!$B$11,"n.a.")</x:f>
        <x:v>1.2857142857142858</x:v>
      </x:c>
      <x:c r="H34" s="14" t="n">
        <x:f>IF(AND('Input'!$B$41="Valid untuk hitung",'Gelombang'!H34="Valid untuk hitung",ISNUMBER(J33),ISNUMBER(K33),ISNUMBER(Q33)),IF('Input'!$B$12=0,I33+G34,MIN(I33+G34,D34*'Input'!$B$15*60*'Input'!$B$13/'Input'!$B$12)),"n.a.")</x:f>
        <x:v>1.2857142857142858</x:v>
      </x:c>
      <x:c r="I34" s="14" t="n">
        <x:f>IF(AND('Input'!$B$41="Valid untuk hitung",'Gelombang'!H34="Valid untuk hitung",ISNUMBER(J33),ISNUMBER(K33),ISNUMBER(Q33)),I33+G34-H34,"n.a.")</x:f>
        <x:v>0</x:v>
      </x:c>
      <x:c r="J34" s="14" t="n">
        <x:f>IF(AND('Input'!$B$41="Valid untuk hitung",'Gelombang'!H34="Valid untuk hitung",ISNUMBER(J33),ISNUMBER(K33),ISNUMBER(Q33)),F34+I34,"n.a.")</x:f>
        <x:v>0</x:v>
      </x:c>
      <x:c r="K34" s="14" t="n">
        <x:f>IF(AND('Input'!$B$41="Valid untuk hitung",'Gelombang'!H34="Valid untuk hitung",ISNUMBER(J33),ISNUMBER(K33),ISNUMBER(Q33)),MAX(0,K33+B34-'Gelombang'!C34*'Input'!$B$15*60*'Input'!$B$13/('Input'!$B$10+'Input'!$B$11*'Input'!$B$12)),"n.a.")</x:f>
        <x:v>0</x:v>
      </x:c>
      <x:c r="L34" s="14" t="n">
        <x:f>IF(AND('Input'!$B$41="Valid untuk hitung",'Gelombang'!H34="Valid untuk hitung",ISNUMBER(J33),ISNUMBER(K33),ISNUMBER(Q33)),MIN(M33+B34,('Gelombang'!D34*'Input'!$B$15-'Gelombang'!F34)*60*'Input'!$B$13/'Input'!$B$10),"n.a.")</x:f>
        <x:v>25.714285714285715</x:v>
      </x:c>
      <x:c r="M34" s="14" t="n">
        <x:f>IF(AND('Input'!$B$41="Valid untuk hitung",'Gelombang'!H34="Valid untuk hitung",ISNUMBER(J33),ISNUMBER(K33),ISNUMBER(Q33)),M33+B34-L34,"n.a.")</x:f>
        <x:v>0</x:v>
      </x:c>
      <x:c r="N34" s="14" t="n">
        <x:f>IF(AND('Input'!$B$41="Valid untuk hitung",'Gelombang'!H34="Valid untuk hitung",ISNUMBER(J33),ISNUMBER(K33),ISNUMBER(Q33)),L34*'Input'!$B$11,"n.a.")</x:f>
        <x:v>1.2857142857142858</x:v>
      </x:c>
      <x:c r="O34" s="14" t="n">
        <x:f>IF(AND('Input'!$B$41="Valid untuk hitung",'Gelombang'!H34="Valid untuk hitung",ISNUMBER(J33),ISNUMBER(K33),ISNUMBER(Q33)),IF('Input'!$B$12=0,P33+N34,MIN(P33+N34,('Gelombang'!E34*'Input'!$B$15-'Gelombang'!G34)*60*'Input'!$B$13/'Input'!$B$12)),"n.a.")</x:f>
        <x:v>1.2857142857142858</x:v>
      </x:c>
      <x:c r="P34" s="14" t="n">
        <x:f>IF(AND('Input'!$B$41="Valid untuk hitung",'Gelombang'!H34="Valid untuk hitung",ISNUMBER(J33),ISNUMBER(K33),ISNUMBER(Q33)),P33+N34-O34,"n.a.")</x:f>
        <x:v>0</x:v>
      </x:c>
      <x:c r="Q34" s="14" t="n">
        <x:f>IF(AND('Input'!$B$41="Valid untuk hitung",'Gelombang'!H34="Valid untuk hitung",ISNUMBER(J33),ISNUMBER(K33),ISNUMBER(Q33)),M34+P34,"n.a.")</x:f>
        <x:v>0</x:v>
      </x:c>
    </x:row>
    <x:row r="35" ht="24" customHeight="1">
      <x:c r="A35" s="13" t="str">
        <x:f>TEXT('Gelombang'!A35+'Input'!$B$15/1440,"hh:mm")</x:f>
        <x:v>17:00</x:v>
      </x:c>
      <x:c r="B35" s="14" t="n">
        <x:f>'Gelombang'!B35</x:f>
        <x:v>25.714285714285715</x:v>
      </x:c>
      <x:c r="C35" s="14" t="n">
        <x:f>IF(AND('Input'!$B$41="Valid untuk hitung",'Gelombang'!H35="Valid untuk hitung",ISNUMBER(J34),ISNUMBER(K34),ISNUMBER(Q34)),MAX('Gelombang'!C35-1,0),"n.a.")</x:f>
        <x:v>5</x:v>
      </x:c>
      <x:c r="D35" s="14" t="n">
        <x:f>IF(AND('Input'!$B$41="Valid untuk hitung",'Gelombang'!H35="Valid untuk hitung",ISNUMBER(J34),ISNUMBER(K34),ISNUMBER(Q34)),MIN('Gelombang'!C35,1),"n.a.")</x:f>
        <x:v>1</x:v>
      </x:c>
      <x:c r="E35" s="14" t="n">
        <x:f>IF(AND('Input'!$B$41="Valid untuk hitung",'Gelombang'!H35="Valid untuk hitung",ISNUMBER(J34),ISNUMBER(K34),ISNUMBER(Q34)),MIN(F34+B35,C35*'Input'!$B$15*60*'Input'!$B$13/'Input'!$B$10),"n.a.")</x:f>
        <x:v>25.714285714285715</x:v>
      </x:c>
      <x:c r="F35" s="14" t="n">
        <x:f>IF(AND('Input'!$B$41="Valid untuk hitung",'Gelombang'!H35="Valid untuk hitung",ISNUMBER(J34),ISNUMBER(K34),ISNUMBER(Q34)),F34+B35-E35,"n.a.")</x:f>
        <x:v>0</x:v>
      </x:c>
      <x:c r="G35" s="14" t="n">
        <x:f>IF(AND('Input'!$B$41="Valid untuk hitung",'Gelombang'!H35="Valid untuk hitung",ISNUMBER(J34),ISNUMBER(K34),ISNUMBER(Q34)),E35*'Input'!$B$11,"n.a.")</x:f>
        <x:v>1.2857142857142858</x:v>
      </x:c>
      <x:c r="H35" s="14" t="n">
        <x:f>IF(AND('Input'!$B$41="Valid untuk hitung",'Gelombang'!H35="Valid untuk hitung",ISNUMBER(J34),ISNUMBER(K34),ISNUMBER(Q34)),IF('Input'!$B$12=0,I34+G35,MIN(I34+G35,D35*'Input'!$B$15*60*'Input'!$B$13/'Input'!$B$12)),"n.a.")</x:f>
        <x:v>1.2857142857142858</x:v>
      </x:c>
      <x:c r="I35" s="14" t="n">
        <x:f>IF(AND('Input'!$B$41="Valid untuk hitung",'Gelombang'!H35="Valid untuk hitung",ISNUMBER(J34),ISNUMBER(K34),ISNUMBER(Q34)),I34+G35-H35,"n.a.")</x:f>
        <x:v>0</x:v>
      </x:c>
      <x:c r="J35" s="14" t="n">
        <x:f>IF(AND('Input'!$B$41="Valid untuk hitung",'Gelombang'!H35="Valid untuk hitung",ISNUMBER(J34),ISNUMBER(K34),ISNUMBER(Q34)),F35+I35,"n.a.")</x:f>
        <x:v>0</x:v>
      </x:c>
      <x:c r="K35" s="14" t="n">
        <x:f>IF(AND('Input'!$B$41="Valid untuk hitung",'Gelombang'!H35="Valid untuk hitung",ISNUMBER(J34),ISNUMBER(K34),ISNUMBER(Q34)),MAX(0,K34+B35-'Gelombang'!C35*'Input'!$B$15*60*'Input'!$B$13/('Input'!$B$10+'Input'!$B$11*'Input'!$B$12)),"n.a.")</x:f>
        <x:v>0</x:v>
      </x:c>
      <x:c r="L35" s="14" t="n">
        <x:f>IF(AND('Input'!$B$41="Valid untuk hitung",'Gelombang'!H35="Valid untuk hitung",ISNUMBER(J34),ISNUMBER(K34),ISNUMBER(Q34)),MIN(M34+B35,('Gelombang'!D35*'Input'!$B$15-'Gelombang'!F35)*60*'Input'!$B$13/'Input'!$B$10),"n.a.")</x:f>
        <x:v>25.714285714285715</x:v>
      </x:c>
      <x:c r="M35" s="14" t="n">
        <x:f>IF(AND('Input'!$B$41="Valid untuk hitung",'Gelombang'!H35="Valid untuk hitung",ISNUMBER(J34),ISNUMBER(K34),ISNUMBER(Q34)),M34+B35-L35,"n.a.")</x:f>
        <x:v>0</x:v>
      </x:c>
      <x:c r="N35" s="14" t="n">
        <x:f>IF(AND('Input'!$B$41="Valid untuk hitung",'Gelombang'!H35="Valid untuk hitung",ISNUMBER(J34),ISNUMBER(K34),ISNUMBER(Q34)),L35*'Input'!$B$11,"n.a.")</x:f>
        <x:v>1.2857142857142858</x:v>
      </x:c>
      <x:c r="O35" s="14" t="n">
        <x:f>IF(AND('Input'!$B$41="Valid untuk hitung",'Gelombang'!H35="Valid untuk hitung",ISNUMBER(J34),ISNUMBER(K34),ISNUMBER(Q34)),IF('Input'!$B$12=0,P34+N35,MIN(P34+N35,('Gelombang'!E35*'Input'!$B$15-'Gelombang'!G35)*60*'Input'!$B$13/'Input'!$B$12)),"n.a.")</x:f>
        <x:v>1.2857142857142858</x:v>
      </x:c>
      <x:c r="P35" s="14" t="n">
        <x:f>IF(AND('Input'!$B$41="Valid untuk hitung",'Gelombang'!H35="Valid untuk hitung",ISNUMBER(J34),ISNUMBER(K34),ISNUMBER(Q34)),P34+N35-O35,"n.a.")</x:f>
        <x:v>0</x:v>
      </x:c>
      <x:c r="Q35" s="14" t="n">
        <x:f>IF(AND('Input'!$B$41="Valid untuk hitung",'Gelombang'!H35="Valid untuk hitung",ISNUMBER(J34),ISNUMBER(K34),ISNUMBER(Q34)),M35+P35,"n.a.")</x:f>
        <x:v>0</x:v>
      </x:c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4" customHeight="1">
      <x:c r="A38" s="4" t="str">
        <x:v>Sisa total = record belum selesai standar + kasus exception yang sudah lewat standar tetapi belum selesai.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4" customHeight="1">
      <x:c r="A39" s="4" t="str">
        <x:v>Pooled meratakan campuran kerja s + p x e; tidak menggambarkan urutan kasus panjang atau p95 antrean.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4" customHeight="1">
      <x:c r="A40" s="4" t="str">
        <x:v>Tidak ada layanan setelah 17.00 yang diasumsikan. Sisa akhir memerlukan revisi skenario atau konfirmasi penanganan.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4" customHeight="1">
      <x:c r="A41" s="4" t="str">
        <x:v>Bandingkan alternatif dengan volume, roster, fraksi produktif dan definisi kerja yang sama. Adaptif masih perlu uji perpindahan.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</x:sheetData>
  <x:conditionalFormatting sqref="C8:Q35">
    <x:cfRule type="containsText" dxfId="4" priority="1" operator="containsText" text="PERIKSA"/>
    <x:cfRule type="containsText" dxfId="5" priority="2" operator="containsText" text="n.a."/>
  </x:conditionalFormatting>
  <x:pageMargins left="0.7" right="0.7" top="0.75" bottom="0.75" header="0.3" footer="0.3"/>
  <x:drawing xmlns:r="http://schemas.openxmlformats.org/officeDocument/2006/relationships" r:id="R1b9202824dff48a7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3" hidden="0" customWidth="1"/>
    <x:col min="3" max="3" width="57" hidden="0" customWidth="1"/>
    <x:col min="4" max="4" width="35" hidden="0" customWidth="1"/>
    <x:col min="5" max="5" width="62" hidden="0" customWidth="1"/>
    <x:col min="6" max="6" width="48" hidden="0" customWidth="1"/>
    <x:col min="7" max="7" width="24" hidden="0" customWidth="1"/>
    <x:col min="8" max="8" width="40" hidden="0" customWidth="1"/>
    <x:col min="9" max="9" width="35" hidden="0" customWidth="1"/>
    <x:col min="10" max="10" width="25" hidden="0" customWidth="1"/>
    <x:col min="11" max="11" width="2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3" t="str">
        <x:v>Keputusan terbuka panitia dan hotel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4" t="str">
        <x:v>Jawaban perlu menyertakan bukti dan pemilik keputusan. Pengisian workbook tidak otomatis mengesahkan rancangan.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6" customHeight="1">
      <x:c r="A5" s="8" t="str">
        <x:v>ID</x:v>
      </x:c>
      <x:c r="B5" s="8" t="str">
        <x:v>Prioritas</x:v>
      </x:c>
      <x:c r="C5" s="8" t="str">
        <x:v>Keputusan atau pertanyaan</x:v>
      </x:c>
      <x:c r="D5" s="8" t="str">
        <x:v>Penjawab</x:v>
      </x:c>
      <x:c r="E5" s="8" t="str">
        <x:v>Bukti diperlukan</x:v>
      </x:c>
      <x:c r="F5" s="8" t="str">
        <x:v>Desain terdampak</x:v>
      </x:c>
      <x:c r="G5" s="8" t="str">
        <x:v>Status</x:v>
      </x:c>
      <x:c r="H5" s="8" t="str">
        <x:v>Jawaban / nilai</x:v>
      </x:c>
      <x:c r="I5" s="8" t="str">
        <x:v>Bukti / tanggal</x:v>
      </x:c>
      <x:c r="J5" s="8" t="str">
        <x:v>PIC konfirmasi</x:v>
      </x:c>
      <x:c r="K5" s="8" t="str">
        <x:v>Tenggat</x:v>
      </x:c>
    </x:row>
    <x:row r="6" ht="105" customHeight="1">
      <x:c r="A6" s="9" t="str">
        <x:v>D01</x:v>
      </x:c>
      <x:c r="B6" s="9" t="str">
        <x:v>Input kalibrasi</x:v>
      </x:c>
      <x:c r="C6" s="9" t="str">
        <x:v>Apakah 720 adalah record terdaftar, peserta yang diperkirakan hadir, atau termasuk escort? Berapa junior, parent/observer terdaftar, paket, dan party?</x:v>
      </x:c>
      <x:c r="D6" s="9" t="str">
        <x:v>Penanggung jawab data peserta GMMUN</x:v>
      </x:c>
      <x:c r="E6" s="9" t="str">
        <x:v>Ekspor agregat record unik, definisi kategori, deduplikasi dan asumsi kehadiran</x:v>
      </x:c>
      <x:c r="F6" s="9" t="str">
        <x:v>Unit permintaan, bobot layanan, jumlah party dan orang</x:v>
      </x:c>
      <x:c r="G6" s="10" t="str">
        <x:v>Belum dikonfirmasi</x:v>
      </x:c>
      <x:c r="H6" s="10"/>
      <x:c r="I6" s="10"/>
      <x:c r="J6" s="10"/>
      <x:c r="K6" s="10"/>
    </x:row>
    <x:row r="7" ht="105" customHeight="1">
      <x:c r="A7" s="9" t="str">
        <x:v>D02</x:v>
      </x:c>
      <x:c r="B7" s="9" t="str">
        <x:v>Kritis sebelum penerapan</x:v>
      </x:c>
      <x:c r="C7" s="9" t="str">
        <x:v>Apakah 120 batas resmi untuk area registrasi dengan layout enam meja, koper dan jalur keluar? Berapa batas operasional serta cakupan orang yang dihitung?</x:v>
      </x:c>
      <x:c r="D7" s="9" t="str">
        <x:v>Penanggung jawab venue hotel bersama panitia</x:v>
      </x:c>
      <x:c r="E7" s="9" t="str">
        <x:v>Denah aktual dan kapasitas/batas operasional yang disahkan pihak berwenang</x:v>
      </x:c>
      <x:c r="F7" s="9" t="str">
        <x:v>Pengendalian masuk, tata letak, ukuran antrean dan kriteria pilot</x:v>
      </x:c>
      <x:c r="G7" s="10" t="str">
        <x:v>Belum dikonfirmasi</x:v>
      </x:c>
      <x:c r="H7" s="10"/>
      <x:c r="I7" s="10"/>
      <x:c r="J7" s="10"/>
      <x:c r="K7" s="10"/>
    </x:row>
    <x:row r="8" ht="105" customHeight="1">
      <x:c r="A8" s="9" t="str">
        <x:v>D03</x:v>
      </x:c>
      <x:c r="B8" s="9" t="str">
        <x:v>Kritis sebelum penerapan</x:v>
      </x:c>
      <x:c r="C8" s="9" t="str">
        <x:v>Siapa boleh mendampingi junior, di area mana, dengan pemeriksaan apa, dan bagaimana dukungan tambahan atau handover ditangani?</x:v>
      </x:c>
      <x:c r="D8" s="9" t="str">
        <x:v>Penanggung jawab peserta/junior GMMUN dan hotel</x:v>
      </x:c>
      <x:c r="E8" s="9" t="str">
        <x:v>Kebijakan akses dan perlindungan junior tertulis; jalur eskalasi</x:v>
      </x:c>
      <x:c r="F8" s="9" t="str">
        <x:v>Kebersamaan party, akses ruang, hitungan okupansi</x:v>
      </x:c>
      <x:c r="G8" s="10" t="str">
        <x:v>Belum dikonfirmasi</x:v>
      </x:c>
      <x:c r="H8" s="10"/>
      <x:c r="I8" s="10"/>
      <x:c r="J8" s="10"/>
      <x:c r="K8" s="10"/>
    </x:row>
    <x:row r="9" ht="105" customHeight="1">
      <x:c r="A9" s="9" t="str">
        <x:v>D04</x:v>
      </x:c>
      <x:c r="B9" s="9" t="str">
        <x:v>Kritis sebelum penerapan</x:v>
      </x:c>
      <x:c r="C9" s="9" t="str">
        <x:v>Hak dan verifikasi apa berlaku untuk parent/observer terdaftar dan pendamping yang tidak terdaftar? Apakah escort perlu izin/identifikasi tersendiri?</x:v>
      </x:c>
      <x:c r="D9" s="9" t="str">
        <x:v>Penanggung jawab paket GMMUN dan hotel</x:v>
      </x:c>
      <x:c r="E9" s="9" t="str">
        <x:v>Ketentuan paket edisi terkait dan persyaratan akses venue</x:v>
      </x:c>
      <x:c r="F9" s="9" t="str">
        <x:v>Jumlah record, badge/kit, beban verifikasi dan akses</x:v>
      </x:c>
      <x:c r="G9" s="10" t="str">
        <x:v>Belum dikonfirmasi</x:v>
      </x:c>
      <x:c r="H9" s="10"/>
      <x:c r="I9" s="10"/>
      <x:c r="J9" s="10"/>
      <x:c r="K9" s="10"/>
    </x:row>
    <x:row r="10" ht="105" customHeight="1">
      <x:c r="A10" s="9" t="str">
        <x:v>D05</x:v>
      </x:c>
      <x:c r="B10" s="9" t="str">
        <x:v>Kritis sebelum penerapan</x:v>
      </x:c>
      <x:c r="C10" s="9" t="str">
        <x:v>Berapa orang hadir tiap interval; siapa mengisi meja, pintu, logistik, penghubung hotel dan istirahat? Berapa perangkat dan posisi yang benar-benar aktif?</x:v>
      </x:c>
      <x:c r="D10" s="9" t="str">
        <x:v>Koordinator operasional GMMUN</x:v>
      </x:c>
      <x:c r="E10" s="9" t="str">
        <x:v>Roster bernama dan jadwal peran/istirahat; inventaris perangkat dan akses</x:v>
      </x:c>
      <x:c r="F10" s="9" t="str">
        <x:v>Kapasitas nyata, kelayakan 4+1+1 dan enam universal</x:v>
      </x:c>
      <x:c r="G10" s="10" t="str">
        <x:v>Belum dikonfirmasi</x:v>
      </x:c>
      <x:c r="H10" s="10"/>
      <x:c r="I10" s="10"/>
      <x:c r="J10" s="10"/>
      <x:c r="K10" s="10"/>
    </x:row>
    <x:row r="11" ht="105" customHeight="1">
      <x:c r="A11" s="9" t="str">
        <x:v>D06</x:v>
      </x:c>
      <x:c r="B11" s="9" t="str">
        <x:v>Kritis sebelum penerapan</x:v>
      </x:c>
      <x:c r="C11" s="9" t="str">
        <x:v>Siapa dapat menyelesaikan tiap jenis exception, boleh mengganti peran, dan memiliki wewenang final? Adakah satu approver bersama?</x:v>
      </x:c>
      <x:c r="D11" s="9" t="str">
        <x:v>Koordinator registrasi GMMUN dan penghubung hotel</x:v>
      </x:c>
      <x:c r="E11" s="9" t="str">
        <x:v>Matriks keterampilan/wewenang beserta pengganti yang disetujui</x:v>
      </x:c>
      <x:c r="F11" s="9" t="str">
        <x:v>Kapasitas exception, pooling, relief dan perpindahan peran</x:v>
      </x:c>
      <x:c r="G11" s="10" t="str">
        <x:v>Belum dikonfirmasi</x:v>
      </x:c>
      <x:c r="H11" s="10"/>
      <x:c r="I11" s="10"/>
      <x:c r="J11" s="10"/>
      <x:c r="K11" s="10"/>
    </x:row>
    <x:row r="12" ht="105" customHeight="1">
      <x:c r="A12" s="9" t="str">
        <x:v>D07</x:v>
      </x:c>
      <x:c r="B12" s="9" t="str">
        <x:v>Kritis sebelum penerapan</x:v>
      </x:c>
      <x:c r="C12" s="9" t="str">
        <x:v>Kapan kunci siap dan diizinkan dirilis; siapa boleh mengambil/menyerahkan; per orang atau kamar; dokumen atau langkah hotel apa tersisa; bagaimana pengambilan ulang?</x:v>
      </x:c>
      <x:c r="D12" s="9" t="str">
        <x:v>Penanggung jawab front office hotel dan panitia</x:v>
      </x:c>
      <x:c r="E12" s="9" t="str">
        <x:v>Protokol kunci, mandat serah-terima, status rooming/key list dan kondisi rilis</x:v>
      </x:c>
      <x:c r="F12" s="9" t="str">
        <x:v>Durasi layanan, key pending, re-entry dan integrasi meja</x:v>
      </x:c>
      <x:c r="G12" s="10" t="str">
        <x:v>Belum dikonfirmasi</x:v>
      </x:c>
      <x:c r="H12" s="10"/>
      <x:c r="I12" s="10"/>
      <x:c r="J12" s="10"/>
      <x:c r="K12" s="10"/>
    </x:row>
    <x:row r="13" ht="105" customHeight="1">
      <x:c r="A13" s="9" t="str">
        <x:v>D08</x:v>
      </x:c>
      <x:c r="B13" s="9" t="str">
        <x:v>Kritis sebelum penerapan</x:v>
      </x:c>
      <x:c r="C13" s="9" t="str">
        <x:v>Apakah full accommodation atau kategori lain menerima janji priority registration/check-in untuk edisi ini; apa makna dan batasnya?</x:v>
      </x:c>
      <x:c r="D13" s="9" t="str">
        <x:v>Penanggung jawab penjualan/paket GMMUN</x:v>
      </x:c>
      <x:c r="E13" s="9" t="str">
        <x:v>Materi penawaran, tiket dan syarat paket yang benar-benar dijual</x:v>
      </x:c>
      <x:c r="F13" s="9" t="str">
        <x:v>Urutan antrean, fairness, target tunggu dan rancangan pilot</x:v>
      </x:c>
      <x:c r="G13" s="10" t="str">
        <x:v>Belum dikonfirmasi</x:v>
      </x:c>
      <x:c r="H13" s="10"/>
      <x:c r="I13" s="10"/>
      <x:c r="J13" s="10"/>
      <x:c r="K13" s="10"/>
    </x:row>
    <x:row r="14" ht="105" customHeight="1">
      <x:c r="A14" s="9" t="str">
        <x:v>D09</x:v>
      </x:c>
      <x:c r="B14" s="9" t="str">
        <x:v>Kritis sebelum penerapan</x:v>
      </x:c>
      <x:c r="C14" s="9" t="str">
        <x:v>Apakah 17.00 batas datang, masuk antrean atau selesai registrasi; apakah mencakup kunci; bagaimana peserta terlambat dan kasus belum selesai?</x:v>
      </x:c>
      <x:c r="D14" s="9" t="str">
        <x:v>Penanggung jawab acara GMMUN dan hotel</x:v>
      </x:c>
      <x:c r="E14" s="9" t="str">
        <x:v>Jadwal resmi, definisi selesai dan kebijakan keterlambatan</x:v>
      </x:c>
      <x:c r="F14" s="9" t="str">
        <x:v>Horizon kapasitas, deadline pilot, backlog akhir</x:v>
      </x:c>
      <x:c r="G14" s="10" t="str">
        <x:v>Belum dikonfirmasi</x:v>
      </x:c>
      <x:c r="H14" s="10"/>
      <x:c r="I14" s="10"/>
      <x:c r="J14" s="10"/>
      <x:c r="K14" s="10"/>
    </x:row>
    <x:row r="15" ht="105" customHeight="1">
      <x:c r="A15" s="9" t="str">
        <x:v>D10</x:v>
      </x:c>
      <x:c r="B15" s="9" t="str">
        <x:v>Kritis sebelum penerapan</x:v>
      </x:c>
      <x:c r="C15" s="9" t="str">
        <x:v>Bagaimana akses serentak, pengecekan identitas, status terpisah event/badge/kit/key, pencegahan duplikasi, perlindungan data dan rekonsiliasi offline bekerja?</x:v>
      </x:c>
      <x:c r="D15" s="9" t="str">
        <x:v>Penanggung jawab data/registrasi GMMUN dan hotel untuk data kunci</x:v>
      </x:c>
      <x:c r="E15" s="9" t="str">
        <x:v>Demo serentak, aturan akses, data dictionary, hasil uji gangguan/duplikasi</x:v>
      </x:c>
      <x:c r="F15" s="9" t="str">
        <x:v>Kelayakan meja universal, audit hak dan waktu pemulihan</x:v>
      </x:c>
      <x:c r="G15" s="10" t="str">
        <x:v>Belum dikonfirmasi</x:v>
      </x:c>
      <x:c r="H15" s="10"/>
      <x:c r="I15" s="10"/>
      <x:c r="J15" s="10"/>
      <x:c r="K15" s="10"/>
    </x:row>
    <x:row r="16" ht="105" customHeight="1">
      <x:c r="A16" s="9" t="str">
        <x:v>D11</x:v>
      </x:c>
      <x:c r="B16" s="9" t="str">
        <x:v>Input kalibrasi</x:v>
      </x:c>
      <x:c r="C16" s="9" t="str">
        <x:v>Siapa mengambil kit/kunci, di mana disimpan, apakah badge sudah siap, adakah printer bersama, dan berapa waktu layanan titik tersebut?</x:v>
      </x:c>
      <x:c r="D16" s="9" t="str">
        <x:v>Penanggung jawab logistik GMMUN dan hotel untuk kunci</x:v>
      </x:c>
      <x:c r="E16" s="9" t="str">
        <x:v>Layout penyimpanan, inventaris, pembagian peran dan time study</x:v>
      </x:c>
      <x:c r="F16" s="9" t="str">
        <x:v>Hambatan bersama, waktu layanan dan kebutuhan peran</x:v>
      </x:c>
      <x:c r="G16" s="10" t="str">
        <x:v>Belum dikonfirmasi</x:v>
      </x:c>
      <x:c r="H16" s="10"/>
      <x:c r="I16" s="10"/>
      <x:c r="J16" s="10"/>
      <x:c r="K16" s="10"/>
    </x:row>
    <x:row r="17" ht="105" customHeight="1">
      <x:c r="A17" s="9" t="str">
        <x:v>D12</x:v>
      </x:c>
      <x:c r="B17" s="9" t="str">
        <x:v>Kritis sebelum penerapan</x:v>
      </x:c>
      <x:c r="C17" s="9" t="str">
        <x:v>Di mana orang menunggu bila ruang penuh/kunci belum siap; siapa mengelola area itu; bagaimana pemberitahuan, re-entry, dan kepemilikan kasus dilakukan?</x:v>
      </x:c>
      <x:c r="D17" s="9" t="str">
        <x:v>Koordinator operasional GMMUN dan penanggung jawab venue hotel</x:v>
      </x:c>
      <x:c r="E17" s="9" t="str">
        <x:v>Area serta batas yang disetujui, pemilik kasus, kanal tindak lanjut dan rute</x:v>
      </x:c>
      <x:c r="F17" s="9" t="str">
        <x:v>Okupansi, antrean luar, key pending dan keselamatan alur</x:v>
      </x:c>
      <x:c r="G17" s="10" t="str">
        <x:v>Belum dikonfirmasi</x:v>
      </x:c>
      <x:c r="H17" s="10"/>
      <x:c r="I17" s="10"/>
      <x:c r="J17" s="10"/>
      <x:c r="K17" s="10"/>
    </x:row>
    <x:row r="18" ht="105" customHeight="1">
      <x:c r="A18" s="9" t="str">
        <x:v>D13</x:v>
      </x:c>
      <x:c r="B18" s="9" t="str">
        <x:v>Input kalibrasi</x:v>
      </x:c>
      <x:c r="C18" s="9" t="str">
        <x:v>Apa data/checklist kedatangan per 15 menit, ukuran party, pembukaan/acara/transportasi yang bisa membuat puncak, dan potensi late arrival?</x:v>
      </x:c>
      <x:c r="D18" s="9" t="str">
        <x:v>Koordinator peserta/transportasi GMMUN</x:v>
      </x:c>
      <x:c r="E18" s="9" t="str">
        <x:v>RSVP perkiraan tiba atau data acara pembanding dengan batas relevansi</x:v>
      </x:c>
      <x:c r="F18" s="9" t="str">
        <x:v>Skenario lonjakan, perlu/tidaknya arrival window dan jadwal staf</x:v>
      </x:c>
      <x:c r="G18" s="10" t="str">
        <x:v>Belum dikonfirmasi</x:v>
      </x:c>
      <x:c r="H18" s="10"/>
      <x:c r="I18" s="10"/>
      <x:c r="J18" s="10"/>
      <x:c r="K18" s="10"/>
    </x:row>
    <x:row r="19" ht="105" customHeight="1">
      <x:c r="A19" s="9" t="str">
        <x:v>D14</x:v>
      </x:c>
      <x:c r="B19" s="9" t="str">
        <x:v>Kritis sebelum keputusan penerapan</x:v>
      </x:c>
      <x:c r="C19" s="9" t="str">
        <x:v>Berapa target tunggu, backlog, waktu penyelesaian dan toleransi kesalahan; kelompok mana wajib dilaporkan terpisah? Siapa menyetujui kriteria?</x:v>
      </x:c>
      <x:c r="D19" s="9" t="str">
        <x:v>Penanggung jawab acara/registrasi GMMUN bersama hotel untuk domain hotel</x:v>
      </x:c>
      <x:c r="E19" s="9" t="str">
        <x:v>Kriteria penerimaan tertulis dan pemilik keputusan</x:v>
      </x:c>
      <x:c r="F19" s="9" t="str">
        <x:v>Penilaian hasil, trade-off normal vs exception dan keputusan kandidat</x:v>
      </x:c>
      <x:c r="G19" s="10" t="str">
        <x:v>Belum dikonfirmasi</x:v>
      </x:c>
      <x:c r="H19" s="10"/>
      <x:c r="I19" s="10"/>
      <x:c r="J19" s="10"/>
      <x:c r="K19" s="10"/>
    </x:row>
    <x:row r="20" ht="105" customHeight="1">
      <x:c r="A20" s="9" t="str">
        <x:v>D15</x:v>
      </x:c>
      <x:c r="B20" s="9" t="str">
        <x:v>Kritis sebelum penerapan</x:v>
      </x:c>
      <x:c r="C20" s="9" t="str">
        <x:v>Apakah party dapat dilayani bersama; pekerjaan mana tetap per individu; kapan pengambilan kunci per kamar diperbolehkan; bagaimana anggota yang tiba terpisah diproses?</x:v>
      </x:c>
      <x:c r="D20" s="9" t="str">
        <x:v>Penanggung jawab registrasi GMMUN dan front office hotel</x:v>
      </x:c>
      <x:c r="E20" s="9" t="str">
        <x:v>Aturan verifikasi/handover individu dan kamar serta kasus keluarga</x:v>
      </x:c>
      <x:c r="F20" s="9" t="str">
        <x:v>Unit waktu layanan, batching dan kontrol duplikasi</x:v>
      </x:c>
      <x:c r="G20" s="10" t="str">
        <x:v>Belum dikonfirmasi</x:v>
      </x:c>
      <x:c r="H20" s="10"/>
      <x:c r="I20" s="10"/>
      <x:c r="J20" s="10"/>
      <x:c r="K20" s="10"/>
    </x:row>
    <x:row r="21" ht="105" customHeight="1">
      <x:c r="A21" s="9" t="str">
        <x:v>D16</x:v>
      </x:c>
      <x:c r="B21" s="9" t="str">
        <x:v>Perlu sebelum pilot terkait</x:v>
      </x:c>
      <x:c r="C21" s="9" t="str">
        <x:v>Siapa menyediakan petugas/pengamat, ruang, data sintetis, perangkat dan slot pilot; kapan ruang nyata boleh dipakai dan dengan batas apa?</x:v>
      </x:c>
      <x:c r="D21" s="9" t="str">
        <x:v>Koordinator operasional GMMUN dan hotel jika venue dipakai</x:v>
      </x:c>
      <x:c r="E21" s="9" t="str">
        <x:v>Jadwal pilot, roster uji, persetujuan area dan rancangan pengukuran</x:v>
      </x:c>
      <x:c r="F21" s="9" t="str">
        <x:v>Kelayakan uji adil dan kemampuan mengukur tanpa mengganggu layanan</x:v>
      </x:c>
      <x:c r="G21" s="10" t="str">
        <x:v>Belum dikonfirmasi</x:v>
      </x:c>
      <x:c r="H21" s="10"/>
      <x:c r="I21" s="10"/>
      <x:c r="J21" s="10"/>
      <x:c r="K21" s="10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</x:sheetData>
  <x:dataValidations count="1">
    <x:dataValidation type="list" sqref="G6:G21">
      <x:formula1>"Belum dikonfirmasi,Menunggu bukti,Dikonfirmasi,Perlu revisi"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38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30" customHeight="1">
      <x:c r="A2" s="3" t="str">
        <x:v>Log pengukuran layanan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4" customHeight="1">
      <x:c r="A3" s="4" t="str">
        <x:v>Satu baris per record. ID anonim; party ID menghubungkan keluarga. Jangan masukkan nama, nomor identitas atau nomor kamar.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4" customHeight="1">
      <x:c r="A4" s="4" t="str">
        <x:v>Waktu = detik sejak awal sesi. Terpakai = kerja aktif + waktu tertahan saat operator belum bebas melayani record lain.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4" customHeight="1">
      <x:c r="A5" s="4" t="str">
        <x:v>P95 di bawah adalah distribusi sampel gabungan yang terisi; tidak otomatis mewakili populasi atau tiap jenis peserta.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65" customHeight="1">
      <x:c r="A7" s="8" t="str">
        <x:v>ID record</x:v>
      </x:c>
      <x:c r="B7" s="8" t="str">
        <x:v>Party ID</x:v>
      </x:c>
      <x:c r="C7" s="8" t="str">
        <x:v>Jenis transaksi</x:v>
      </x:c>
      <x:c r="D7" s="8" t="str">
        <x:v>Paket</x:v>
      </x:c>
      <x:c r="E7" s="8" t="str">
        <x:v>Junior 0/1</x:v>
      </x:c>
      <x:c r="F7" s="8" t="str">
        <x:v>Konfigurasi</x:v>
      </x:c>
      <x:c r="G7" s="8" t="str">
        <x:v>Operator ID</x:v>
      </x:c>
      <x:c r="H7" s="8" t="str">
        <x:v>Datang detik</x:v>
      </x:c>
      <x:c r="I7" s="8" t="str">
        <x:v>Mulai standar</x:v>
      </x:c>
      <x:c r="J7" s="8" t="str">
        <x:v>Akhir standar</x:v>
      </x:c>
      <x:c r="K7" s="8" t="str">
        <x:v>Terpakai standar detik</x:v>
      </x:c>
      <x:c r="L7" s="8" t="str">
        <x:v>Masuk antre E</x:v>
      </x:c>
      <x:c r="M7" s="8" t="str">
        <x:v>Mulai E</x:v>
      </x:c>
      <x:c r="N7" s="8" t="str">
        <x:v>Akhir E</x:v>
      </x:c>
      <x:c r="O7" s="8" t="str">
        <x:v>Terpakai E detik</x:v>
      </x:c>
      <x:c r="P7" s="8" t="str">
        <x:v>Keluar ruang</x:v>
      </x:c>
      <x:c r="Q7" s="8" t="str">
        <x:v>Status akhir</x:v>
      </x:c>
      <x:c r="R7" s="8" t="str">
        <x:v>Jumlah orang party</x:v>
      </x:c>
      <x:c r="S7" s="8" t="str">
        <x:v>Catatan gangguan</x:v>
      </x:c>
      <x:c r="T7" s="8" t="str">
        <x:v>Tiba ke mulai detik</x:v>
      </x:c>
      <x:c r="U7" s="8" t="str">
        <x:v>Tunggu E detik</x:v>
      </x:c>
      <x:c r="V7" s="8" t="str">
        <x:v>Tiba ke keluar detik</x:v>
      </x:c>
      <x:c r="W7" s="8" t="str">
        <x:v>Cek waktu</x:v>
      </x:c>
      <x:c r="X7" s="19" t="str">
        <x:v>Standar untuk statistik</x:v>
      </x:c>
      <x:c r="Y7" s="19" t="str">
        <x:v>Exception untuk statistik</x:v>
      </x:c>
      <x:c r="Z7" s="19" t="str">
        <x:v>Pra-layanan untuk statistik</x:v>
      </x:c>
      <x:c r="AA7" s="19" t="str">
        <x:v>Antre E untuk statistik</x:v>
      </x:c>
      <x:c r="AB7" s="19" t="str">
        <x:v>Total waktu untuk statistik</x:v>
      </x:c>
    </x:row>
    <x:row r="8" ht="24" customHeight="1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" t="str">
        <x:f>IF(A8="","",IF(COUNT(H8,I8)=2,IF(I8&gt;=H8,I8-H8,"PERIKSA"),IF(COUNTA(H8,I8)=2,"PERIKSA","")))</x:f>
      </x:c>
      <x:c r="U8" s="2" t="str">
        <x:f>IF(A8="","",IF(COUNT(L8,M8)=2,IF(M8&gt;=L8,M8-L8,"PERIKSA"),IF(COUNTA(L8,M8)=2,"PERIKSA","")))</x:f>
      </x:c>
      <x:c r="V8" s="2" t="str">
        <x:f>IF(A8="","",IF(COUNT(H8,P8)=2,IF(P8&gt;=H8,P8-H8,"PERIKSA"),IF(COUNTA(H8,P8)=2,"PERIKSA","")))</x:f>
      </x:c>
      <x:c r="W8" s="2" t="str">
        <x:f>IF(A8="","",IF(OR(COUNTA(H8:P8)&lt;&gt;COUNT(H8:P8),MIN(H8:P8)&lt;0,AND(ISNUMBER(I8),ISNUMBER(J8),J8&lt;I8),AND(ISNUMBER(K8),ISNUMBER(I8),ISNUMBER(J8),K8&gt;J8-I8),AND(ISNUMBER(M8),ISNUMBER(N8),N8&lt;M8),AND(ISNUMBER(O8),ISNUMBER(M8),ISNUMBER(N8),O8&gt;N8-M8),AND(ISNUMBER(P8),ISNUMBER(J8),P8&lt;J8),AND(ISNUMBER(P8),ISNUMBER(N8),P8&lt;N8),T8="PERIKSA",U8="PERIKSA",V8="PERIKSA"),"PERIKSA waktu","telaah catatan"))</x:f>
      </x:c>
      <x:c r="X8" s="2" t="str">
        <x:f>IF(AND(A8&lt;&gt;"",W8&lt;&gt;"PERIKSA waktu",ISNUMBER(K8),K8&gt;=0,ISNUMBER(I8),ISNUMBER(J8),J8&gt;=I8),K8,"")</x:f>
      </x:c>
      <x:c r="Y8" s="2" t="str">
        <x:f>IF(AND(A8&lt;&gt;"",W8&lt;&gt;"PERIKSA waktu",ISNUMBER(O8),O8&gt;=0,ISNUMBER(M8),ISNUMBER(N8),N8&gt;=M8),O8,"")</x:f>
      </x:c>
      <x:c r="Z8" s="2" t="str">
        <x:f>IF(AND(A8&lt;&gt;"",W8&lt;&gt;"PERIKSA waktu",ISNUMBER(T8),T8&gt;=0),T8,"")</x:f>
      </x:c>
      <x:c r="AA8" s="2" t="str">
        <x:f>IF(AND(A8&lt;&gt;"",W8&lt;&gt;"PERIKSA waktu",ISNUMBER(U8),U8&gt;=0),U8,"")</x:f>
      </x:c>
      <x:c r="AB8" s="2" t="str">
        <x:f>IF(AND(A8&lt;&gt;"",W8&lt;&gt;"PERIKSA waktu",ISNUMBER(V8),V8&gt;=0),V8,"")</x:f>
      </x:c>
    </x:row>
    <x:row r="9" ht="24" customHeight="1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" t="str">
        <x:f>IF(A9="","",IF(COUNT(H9,I9)=2,IF(I9&gt;=H9,I9-H9,"PERIKSA"),IF(COUNTA(H9,I9)=2,"PERIKSA","")))</x:f>
      </x:c>
      <x:c r="U9" s="2" t="str">
        <x:f>IF(A9="","",IF(COUNT(L9,M9)=2,IF(M9&gt;=L9,M9-L9,"PERIKSA"),IF(COUNTA(L9,M9)=2,"PERIKSA","")))</x:f>
      </x:c>
      <x:c r="V9" s="2" t="str">
        <x:f>IF(A9="","",IF(COUNT(H9,P9)=2,IF(P9&gt;=H9,P9-H9,"PERIKSA"),IF(COUNTA(H9,P9)=2,"PERIKSA","")))</x:f>
      </x:c>
      <x:c r="W9" s="2" t="str">
        <x:f>IF(A9="","",IF(OR(COUNTA(H9:P9)&lt;&gt;COUNT(H9:P9),MIN(H9:P9)&lt;0,AND(ISNUMBER(I9),ISNUMBER(J9),J9&lt;I9),AND(ISNUMBER(K9),ISNUMBER(I9),ISNUMBER(J9),K9&gt;J9-I9),AND(ISNUMBER(M9),ISNUMBER(N9),N9&lt;M9),AND(ISNUMBER(O9),ISNUMBER(M9),ISNUMBER(N9),O9&gt;N9-M9),AND(ISNUMBER(P9),ISNUMBER(J9),P9&lt;J9),AND(ISNUMBER(P9),ISNUMBER(N9),P9&lt;N9),T9="PERIKSA",U9="PERIKSA",V9="PERIKSA"),"PERIKSA waktu","telaah catatan"))</x:f>
      </x:c>
      <x:c r="X9" s="2" t="str">
        <x:f>IF(AND(A9&lt;&gt;"",W9&lt;&gt;"PERIKSA waktu",ISNUMBER(K9),K9&gt;=0,ISNUMBER(I9),ISNUMBER(J9),J9&gt;=I9),K9,"")</x:f>
      </x:c>
      <x:c r="Y9" s="2" t="str">
        <x:f>IF(AND(A9&lt;&gt;"",W9&lt;&gt;"PERIKSA waktu",ISNUMBER(O9),O9&gt;=0,ISNUMBER(M9),ISNUMBER(N9),N9&gt;=M9),O9,"")</x:f>
      </x:c>
      <x:c r="Z9" s="2" t="str">
        <x:f>IF(AND(A9&lt;&gt;"",W9&lt;&gt;"PERIKSA waktu",ISNUMBER(T9),T9&gt;=0),T9,"")</x:f>
      </x:c>
      <x:c r="AA9" s="2" t="str">
        <x:f>IF(AND(A9&lt;&gt;"",W9&lt;&gt;"PERIKSA waktu",ISNUMBER(U9),U9&gt;=0),U9,"")</x:f>
      </x:c>
      <x:c r="AB9" s="2" t="str">
        <x:f>IF(AND(A9&lt;&gt;"",W9&lt;&gt;"PERIKSA waktu",ISNUMBER(V9),V9&gt;=0),V9,"")</x:f>
      </x:c>
    </x:row>
    <x:row r="10" ht="24" customHeight="1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" t="str">
        <x:f>IF(A10="","",IF(COUNT(H10,I10)=2,IF(I10&gt;=H10,I10-H10,"PERIKSA"),IF(COUNTA(H10,I10)=2,"PERIKSA","")))</x:f>
      </x:c>
      <x:c r="U10" s="2" t="str">
        <x:f>IF(A10="","",IF(COUNT(L10,M10)=2,IF(M10&gt;=L10,M10-L10,"PERIKSA"),IF(COUNTA(L10,M10)=2,"PERIKSA","")))</x:f>
      </x:c>
      <x:c r="V10" s="2" t="str">
        <x:f>IF(A10="","",IF(COUNT(H10,P10)=2,IF(P10&gt;=H10,P10-H10,"PERIKSA"),IF(COUNTA(H10,P10)=2,"PERIKSA","")))</x:f>
      </x:c>
      <x:c r="W10" s="2" t="str">
        <x:f>IF(A10="","",IF(OR(COUNTA(H10:P10)&lt;&gt;COUNT(H10:P10),MIN(H10:P10)&lt;0,AND(ISNUMBER(I10),ISNUMBER(J10),J10&lt;I10),AND(ISNUMBER(K10),ISNUMBER(I10),ISNUMBER(J10),K10&gt;J10-I10),AND(ISNUMBER(M10),ISNUMBER(N10),N10&lt;M10),AND(ISNUMBER(O10),ISNUMBER(M10),ISNUMBER(N10),O10&gt;N10-M10),AND(ISNUMBER(P10),ISNUMBER(J10),P10&lt;J10),AND(ISNUMBER(P10),ISNUMBER(N10),P10&lt;N10),T10="PERIKSA",U10="PERIKSA",V10="PERIKSA"),"PERIKSA waktu","telaah catatan"))</x:f>
      </x:c>
      <x:c r="X10" s="2" t="str">
        <x:f>IF(AND(A10&lt;&gt;"",W10&lt;&gt;"PERIKSA waktu",ISNUMBER(K10),K10&gt;=0,ISNUMBER(I10),ISNUMBER(J10),J10&gt;=I10),K10,"")</x:f>
      </x:c>
      <x:c r="Y10" s="2" t="str">
        <x:f>IF(AND(A10&lt;&gt;"",W10&lt;&gt;"PERIKSA waktu",ISNUMBER(O10),O10&gt;=0,ISNUMBER(M10),ISNUMBER(N10),N10&gt;=M10),O10,"")</x:f>
      </x:c>
      <x:c r="Z10" s="2" t="str">
        <x:f>IF(AND(A10&lt;&gt;"",W10&lt;&gt;"PERIKSA waktu",ISNUMBER(T10),T10&gt;=0),T10,"")</x:f>
      </x:c>
      <x:c r="AA10" s="2" t="str">
        <x:f>IF(AND(A10&lt;&gt;"",W10&lt;&gt;"PERIKSA waktu",ISNUMBER(U10),U10&gt;=0),U10,"")</x:f>
      </x:c>
      <x:c r="AB10" s="2" t="str">
        <x:f>IF(AND(A10&lt;&gt;"",W10&lt;&gt;"PERIKSA waktu",ISNUMBER(V10),V10&gt;=0),V10,"")</x:f>
      </x:c>
    </x:row>
    <x:row r="11" ht="24" customHeight="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" t="str">
        <x:f>IF(A11="","",IF(COUNT(H11,I11)=2,IF(I11&gt;=H11,I11-H11,"PERIKSA"),IF(COUNTA(H11,I11)=2,"PERIKSA","")))</x:f>
      </x:c>
      <x:c r="U11" s="2" t="str">
        <x:f>IF(A11="","",IF(COUNT(L11,M11)=2,IF(M11&gt;=L11,M11-L11,"PERIKSA"),IF(COUNTA(L11,M11)=2,"PERIKSA","")))</x:f>
      </x:c>
      <x:c r="V11" s="2" t="str">
        <x:f>IF(A11="","",IF(COUNT(H11,P11)=2,IF(P11&gt;=H11,P11-H11,"PERIKSA"),IF(COUNTA(H11,P11)=2,"PERIKSA","")))</x:f>
      </x:c>
      <x:c r="W11" s="2" t="str">
        <x:f>IF(A11="","",IF(OR(COUNTA(H11:P11)&lt;&gt;COUNT(H11:P11),MIN(H11:P11)&lt;0,AND(ISNUMBER(I11),ISNUMBER(J11),J11&lt;I11),AND(ISNUMBER(K11),ISNUMBER(I11),ISNUMBER(J11),K11&gt;J11-I11),AND(ISNUMBER(M11),ISNUMBER(N11),N11&lt;M11),AND(ISNUMBER(O11),ISNUMBER(M11),ISNUMBER(N11),O11&gt;N11-M11),AND(ISNUMBER(P11),ISNUMBER(J11),P11&lt;J11),AND(ISNUMBER(P11),ISNUMBER(N11),P11&lt;N11),T11="PERIKSA",U11="PERIKSA",V11="PERIKSA"),"PERIKSA waktu","telaah catatan"))</x:f>
      </x:c>
      <x:c r="X11" s="2" t="str">
        <x:f>IF(AND(A11&lt;&gt;"",W11&lt;&gt;"PERIKSA waktu",ISNUMBER(K11),K11&gt;=0,ISNUMBER(I11),ISNUMBER(J11),J11&gt;=I11),K11,"")</x:f>
      </x:c>
      <x:c r="Y11" s="2" t="str">
        <x:f>IF(AND(A11&lt;&gt;"",W11&lt;&gt;"PERIKSA waktu",ISNUMBER(O11),O11&gt;=0,ISNUMBER(M11),ISNUMBER(N11),N11&gt;=M11),O11,"")</x:f>
      </x:c>
      <x:c r="Z11" s="2" t="str">
        <x:f>IF(AND(A11&lt;&gt;"",W11&lt;&gt;"PERIKSA waktu",ISNUMBER(T11),T11&gt;=0),T11,"")</x:f>
      </x:c>
      <x:c r="AA11" s="2" t="str">
        <x:f>IF(AND(A11&lt;&gt;"",W11&lt;&gt;"PERIKSA waktu",ISNUMBER(U11),U11&gt;=0),U11,"")</x:f>
      </x:c>
      <x:c r="AB11" s="2" t="str">
        <x:f>IF(AND(A11&lt;&gt;"",W11&lt;&gt;"PERIKSA waktu",ISNUMBER(V11),V11&gt;=0),V11,"")</x:f>
      </x:c>
    </x:row>
    <x:row r="12" ht="24" customHeight="1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" t="str">
        <x:f>IF(A12="","",IF(COUNT(H12,I12)=2,IF(I12&gt;=H12,I12-H12,"PERIKSA"),IF(COUNTA(H12,I12)=2,"PERIKSA","")))</x:f>
      </x:c>
      <x:c r="U12" s="2" t="str">
        <x:f>IF(A12="","",IF(COUNT(L12,M12)=2,IF(M12&gt;=L12,M12-L12,"PERIKSA"),IF(COUNTA(L12,M12)=2,"PERIKSA","")))</x:f>
      </x:c>
      <x:c r="V12" s="2" t="str">
        <x:f>IF(A12="","",IF(COUNT(H12,P12)=2,IF(P12&gt;=H12,P12-H12,"PERIKSA"),IF(COUNTA(H12,P12)=2,"PERIKSA","")))</x:f>
      </x:c>
      <x:c r="W12" s="2" t="str">
        <x:f>IF(A12="","",IF(OR(COUNTA(H12:P12)&lt;&gt;COUNT(H12:P12),MIN(H12:P12)&lt;0,AND(ISNUMBER(I12),ISNUMBER(J12),J12&lt;I12),AND(ISNUMBER(K12),ISNUMBER(I12),ISNUMBER(J12),K12&gt;J12-I12),AND(ISNUMBER(M12),ISNUMBER(N12),N12&lt;M12),AND(ISNUMBER(O12),ISNUMBER(M12),ISNUMBER(N12),O12&gt;N12-M12),AND(ISNUMBER(P12),ISNUMBER(J12),P12&lt;J12),AND(ISNUMBER(P12),ISNUMBER(N12),P12&lt;N12),T12="PERIKSA",U12="PERIKSA",V12="PERIKSA"),"PERIKSA waktu","telaah catatan"))</x:f>
      </x:c>
      <x:c r="X12" s="2" t="str">
        <x:f>IF(AND(A12&lt;&gt;"",W12&lt;&gt;"PERIKSA waktu",ISNUMBER(K12),K12&gt;=0,ISNUMBER(I12),ISNUMBER(J12),J12&gt;=I12),K12,"")</x:f>
      </x:c>
      <x:c r="Y12" s="2" t="str">
        <x:f>IF(AND(A12&lt;&gt;"",W12&lt;&gt;"PERIKSA waktu",ISNUMBER(O12),O12&gt;=0,ISNUMBER(M12),ISNUMBER(N12),N12&gt;=M12),O12,"")</x:f>
      </x:c>
      <x:c r="Z12" s="2" t="str">
        <x:f>IF(AND(A12&lt;&gt;"",W12&lt;&gt;"PERIKSA waktu",ISNUMBER(T12),T12&gt;=0),T12,"")</x:f>
      </x:c>
      <x:c r="AA12" s="2" t="str">
        <x:f>IF(AND(A12&lt;&gt;"",W12&lt;&gt;"PERIKSA waktu",ISNUMBER(U12),U12&gt;=0),U12,"")</x:f>
      </x:c>
      <x:c r="AB12" s="2" t="str">
        <x:f>IF(AND(A12&lt;&gt;"",W12&lt;&gt;"PERIKSA waktu",ISNUMBER(V12),V12&gt;=0),V12,"")</x:f>
      </x:c>
    </x:row>
    <x:row r="13" ht="24" customHeight="1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" t="str">
        <x:f>IF(A13="","",IF(COUNT(H13,I13)=2,IF(I13&gt;=H13,I13-H13,"PERIKSA"),IF(COUNTA(H13,I13)=2,"PERIKSA","")))</x:f>
      </x:c>
      <x:c r="U13" s="2" t="str">
        <x:f>IF(A13="","",IF(COUNT(L13,M13)=2,IF(M13&gt;=L13,M13-L13,"PERIKSA"),IF(COUNTA(L13,M13)=2,"PERIKSA","")))</x:f>
      </x:c>
      <x:c r="V13" s="2" t="str">
        <x:f>IF(A13="","",IF(COUNT(H13,P13)=2,IF(P13&gt;=H13,P13-H13,"PERIKSA"),IF(COUNTA(H13,P13)=2,"PERIKSA","")))</x:f>
      </x:c>
      <x:c r="W13" s="2" t="str">
        <x:f>IF(A13="","",IF(OR(COUNTA(H13:P13)&lt;&gt;COUNT(H13:P13),MIN(H13:P13)&lt;0,AND(ISNUMBER(I13),ISNUMBER(J13),J13&lt;I13),AND(ISNUMBER(K13),ISNUMBER(I13),ISNUMBER(J13),K13&gt;J13-I13),AND(ISNUMBER(M13),ISNUMBER(N13),N13&lt;M13),AND(ISNUMBER(O13),ISNUMBER(M13),ISNUMBER(N13),O13&gt;N13-M13),AND(ISNUMBER(P13),ISNUMBER(J13),P13&lt;J13),AND(ISNUMBER(P13),ISNUMBER(N13),P13&lt;N13),T13="PERIKSA",U13="PERIKSA",V13="PERIKSA"),"PERIKSA waktu","telaah catatan"))</x:f>
      </x:c>
      <x:c r="X13" s="2" t="str">
        <x:f>IF(AND(A13&lt;&gt;"",W13&lt;&gt;"PERIKSA waktu",ISNUMBER(K13),K13&gt;=0,ISNUMBER(I13),ISNUMBER(J13),J13&gt;=I13),K13,"")</x:f>
      </x:c>
      <x:c r="Y13" s="2" t="str">
        <x:f>IF(AND(A13&lt;&gt;"",W13&lt;&gt;"PERIKSA waktu",ISNUMBER(O13),O13&gt;=0,ISNUMBER(M13),ISNUMBER(N13),N13&gt;=M13),O13,"")</x:f>
      </x:c>
      <x:c r="Z13" s="2" t="str">
        <x:f>IF(AND(A13&lt;&gt;"",W13&lt;&gt;"PERIKSA waktu",ISNUMBER(T13),T13&gt;=0),T13,"")</x:f>
      </x:c>
      <x:c r="AA13" s="2" t="str">
        <x:f>IF(AND(A13&lt;&gt;"",W13&lt;&gt;"PERIKSA waktu",ISNUMBER(U13),U13&gt;=0),U13,"")</x:f>
      </x:c>
      <x:c r="AB13" s="2" t="str">
        <x:f>IF(AND(A13&lt;&gt;"",W13&lt;&gt;"PERIKSA waktu",ISNUMBER(V13),V13&gt;=0),V13,"")</x:f>
      </x:c>
    </x:row>
    <x:row r="14" ht="24" customHeight="1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" t="str">
        <x:f>IF(A14="","",IF(COUNT(H14,I14)=2,IF(I14&gt;=H14,I14-H14,"PERIKSA"),IF(COUNTA(H14,I14)=2,"PERIKSA","")))</x:f>
      </x:c>
      <x:c r="U14" s="2" t="str">
        <x:f>IF(A14="","",IF(COUNT(L14,M14)=2,IF(M14&gt;=L14,M14-L14,"PERIKSA"),IF(COUNTA(L14,M14)=2,"PERIKSA","")))</x:f>
      </x:c>
      <x:c r="V14" s="2" t="str">
        <x:f>IF(A14="","",IF(COUNT(H14,P14)=2,IF(P14&gt;=H14,P14-H14,"PERIKSA"),IF(COUNTA(H14,P14)=2,"PERIKSA","")))</x:f>
      </x:c>
      <x:c r="W14" s="2" t="str">
        <x:f>IF(A14="","",IF(OR(COUNTA(H14:P14)&lt;&gt;COUNT(H14:P14),MIN(H14:P14)&lt;0,AND(ISNUMBER(I14),ISNUMBER(J14),J14&lt;I14),AND(ISNUMBER(K14),ISNUMBER(I14),ISNUMBER(J14),K14&gt;J14-I14),AND(ISNUMBER(M14),ISNUMBER(N14),N14&lt;M14),AND(ISNUMBER(O14),ISNUMBER(M14),ISNUMBER(N14),O14&gt;N14-M14),AND(ISNUMBER(P14),ISNUMBER(J14),P14&lt;J14),AND(ISNUMBER(P14),ISNUMBER(N14),P14&lt;N14),T14="PERIKSA",U14="PERIKSA",V14="PERIKSA"),"PERIKSA waktu","telaah catatan"))</x:f>
      </x:c>
      <x:c r="X14" s="2" t="str">
        <x:f>IF(AND(A14&lt;&gt;"",W14&lt;&gt;"PERIKSA waktu",ISNUMBER(K14),K14&gt;=0,ISNUMBER(I14),ISNUMBER(J14),J14&gt;=I14),K14,"")</x:f>
      </x:c>
      <x:c r="Y14" s="2" t="str">
        <x:f>IF(AND(A14&lt;&gt;"",W14&lt;&gt;"PERIKSA waktu",ISNUMBER(O14),O14&gt;=0,ISNUMBER(M14),ISNUMBER(N14),N14&gt;=M14),O14,"")</x:f>
      </x:c>
      <x:c r="Z14" s="2" t="str">
        <x:f>IF(AND(A14&lt;&gt;"",W14&lt;&gt;"PERIKSA waktu",ISNUMBER(T14),T14&gt;=0),T14,"")</x:f>
      </x:c>
      <x:c r="AA14" s="2" t="str">
        <x:f>IF(AND(A14&lt;&gt;"",W14&lt;&gt;"PERIKSA waktu",ISNUMBER(U14),U14&gt;=0),U14,"")</x:f>
      </x:c>
      <x:c r="AB14" s="2" t="str">
        <x:f>IF(AND(A14&lt;&gt;"",W14&lt;&gt;"PERIKSA waktu",ISNUMBER(V14),V14&gt;=0),V14,"")</x:f>
      </x:c>
    </x:row>
    <x:row r="15" ht="24" customHeight="1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" t="str">
        <x:f>IF(A15="","",IF(COUNT(H15,I15)=2,IF(I15&gt;=H15,I15-H15,"PERIKSA"),IF(COUNTA(H15,I15)=2,"PERIKSA","")))</x:f>
      </x:c>
      <x:c r="U15" s="2" t="str">
        <x:f>IF(A15="","",IF(COUNT(L15,M15)=2,IF(M15&gt;=L15,M15-L15,"PERIKSA"),IF(COUNTA(L15,M15)=2,"PERIKSA","")))</x:f>
      </x:c>
      <x:c r="V15" s="2" t="str">
        <x:f>IF(A15="","",IF(COUNT(H15,P15)=2,IF(P15&gt;=H15,P15-H15,"PERIKSA"),IF(COUNTA(H15,P15)=2,"PERIKSA","")))</x:f>
      </x:c>
      <x:c r="W15" s="2" t="str">
        <x:f>IF(A15="","",IF(OR(COUNTA(H15:P15)&lt;&gt;COUNT(H15:P15),MIN(H15:P15)&lt;0,AND(ISNUMBER(I15),ISNUMBER(J15),J15&lt;I15),AND(ISNUMBER(K15),ISNUMBER(I15),ISNUMBER(J15),K15&gt;J15-I15),AND(ISNUMBER(M15),ISNUMBER(N15),N15&lt;M15),AND(ISNUMBER(O15),ISNUMBER(M15),ISNUMBER(N15),O15&gt;N15-M15),AND(ISNUMBER(P15),ISNUMBER(J15),P15&lt;J15),AND(ISNUMBER(P15),ISNUMBER(N15),P15&lt;N15),T15="PERIKSA",U15="PERIKSA",V15="PERIKSA"),"PERIKSA waktu","telaah catatan"))</x:f>
      </x:c>
      <x:c r="X15" s="2" t="str">
        <x:f>IF(AND(A15&lt;&gt;"",W15&lt;&gt;"PERIKSA waktu",ISNUMBER(K15),K15&gt;=0,ISNUMBER(I15),ISNUMBER(J15),J15&gt;=I15),K15,"")</x:f>
      </x:c>
      <x:c r="Y15" s="2" t="str">
        <x:f>IF(AND(A15&lt;&gt;"",W15&lt;&gt;"PERIKSA waktu",ISNUMBER(O15),O15&gt;=0,ISNUMBER(M15),ISNUMBER(N15),N15&gt;=M15),O15,"")</x:f>
      </x:c>
      <x:c r="Z15" s="2" t="str">
        <x:f>IF(AND(A15&lt;&gt;"",W15&lt;&gt;"PERIKSA waktu",ISNUMBER(T15),T15&gt;=0),T15,"")</x:f>
      </x:c>
      <x:c r="AA15" s="2" t="str">
        <x:f>IF(AND(A15&lt;&gt;"",W15&lt;&gt;"PERIKSA waktu",ISNUMBER(U15),U15&gt;=0),U15,"")</x:f>
      </x:c>
      <x:c r="AB15" s="2" t="str">
        <x:f>IF(AND(A15&lt;&gt;"",W15&lt;&gt;"PERIKSA waktu",ISNUMBER(V15),V15&gt;=0),V15,"")</x:f>
      </x:c>
    </x:row>
    <x:row r="16" ht="24" customHeight="1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" t="str">
        <x:f>IF(A16="","",IF(COUNT(H16,I16)=2,IF(I16&gt;=H16,I16-H16,"PERIKSA"),IF(COUNTA(H16,I16)=2,"PERIKSA","")))</x:f>
      </x:c>
      <x:c r="U16" s="2" t="str">
        <x:f>IF(A16="","",IF(COUNT(L16,M16)=2,IF(M16&gt;=L16,M16-L16,"PERIKSA"),IF(COUNTA(L16,M16)=2,"PERIKSA","")))</x:f>
      </x:c>
      <x:c r="V16" s="2" t="str">
        <x:f>IF(A16="","",IF(COUNT(H16,P16)=2,IF(P16&gt;=H16,P16-H16,"PERIKSA"),IF(COUNTA(H16,P16)=2,"PERIKSA","")))</x:f>
      </x:c>
      <x:c r="W16" s="2" t="str">
        <x:f>IF(A16="","",IF(OR(COUNTA(H16:P16)&lt;&gt;COUNT(H16:P16),MIN(H16:P16)&lt;0,AND(ISNUMBER(I16),ISNUMBER(J16),J16&lt;I16),AND(ISNUMBER(K16),ISNUMBER(I16),ISNUMBER(J16),K16&gt;J16-I16),AND(ISNUMBER(M16),ISNUMBER(N16),N16&lt;M16),AND(ISNUMBER(O16),ISNUMBER(M16),ISNUMBER(N16),O16&gt;N16-M16),AND(ISNUMBER(P16),ISNUMBER(J16),P16&lt;J16),AND(ISNUMBER(P16),ISNUMBER(N16),P16&lt;N16),T16="PERIKSA",U16="PERIKSA",V16="PERIKSA"),"PERIKSA waktu","telaah catatan"))</x:f>
      </x:c>
      <x:c r="X16" s="2" t="str">
        <x:f>IF(AND(A16&lt;&gt;"",W16&lt;&gt;"PERIKSA waktu",ISNUMBER(K16),K16&gt;=0,ISNUMBER(I16),ISNUMBER(J16),J16&gt;=I16),K16,"")</x:f>
      </x:c>
      <x:c r="Y16" s="2" t="str">
        <x:f>IF(AND(A16&lt;&gt;"",W16&lt;&gt;"PERIKSA waktu",ISNUMBER(O16),O16&gt;=0,ISNUMBER(M16),ISNUMBER(N16),N16&gt;=M16),O16,"")</x:f>
      </x:c>
      <x:c r="Z16" s="2" t="str">
        <x:f>IF(AND(A16&lt;&gt;"",W16&lt;&gt;"PERIKSA waktu",ISNUMBER(T16),T16&gt;=0),T16,"")</x:f>
      </x:c>
      <x:c r="AA16" s="2" t="str">
        <x:f>IF(AND(A16&lt;&gt;"",W16&lt;&gt;"PERIKSA waktu",ISNUMBER(U16),U16&gt;=0),U16,"")</x:f>
      </x:c>
      <x:c r="AB16" s="2" t="str">
        <x:f>IF(AND(A16&lt;&gt;"",W16&lt;&gt;"PERIKSA waktu",ISNUMBER(V16),V16&gt;=0),V16,"")</x:f>
      </x:c>
    </x:row>
    <x:row r="17" ht="24" customHeight="1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" t="str">
        <x:f>IF(A17="","",IF(COUNT(H17,I17)=2,IF(I17&gt;=H17,I17-H17,"PERIKSA"),IF(COUNTA(H17,I17)=2,"PERIKSA","")))</x:f>
      </x:c>
      <x:c r="U17" s="2" t="str">
        <x:f>IF(A17="","",IF(COUNT(L17,M17)=2,IF(M17&gt;=L17,M17-L17,"PERIKSA"),IF(COUNTA(L17,M17)=2,"PERIKSA","")))</x:f>
      </x:c>
      <x:c r="V17" s="2" t="str">
        <x:f>IF(A17="","",IF(COUNT(H17,P17)=2,IF(P17&gt;=H17,P17-H17,"PERIKSA"),IF(COUNTA(H17,P17)=2,"PERIKSA","")))</x:f>
      </x:c>
      <x:c r="W17" s="2" t="str">
        <x:f>IF(A17="","",IF(OR(COUNTA(H17:P17)&lt;&gt;COUNT(H17:P17),MIN(H17:P17)&lt;0,AND(ISNUMBER(I17),ISNUMBER(J17),J17&lt;I17),AND(ISNUMBER(K17),ISNUMBER(I17),ISNUMBER(J17),K17&gt;J17-I17),AND(ISNUMBER(M17),ISNUMBER(N17),N17&lt;M17),AND(ISNUMBER(O17),ISNUMBER(M17),ISNUMBER(N17),O17&gt;N17-M17),AND(ISNUMBER(P17),ISNUMBER(J17),P17&lt;J17),AND(ISNUMBER(P17),ISNUMBER(N17),P17&lt;N17),T17="PERIKSA",U17="PERIKSA",V17="PERIKSA"),"PERIKSA waktu","telaah catatan"))</x:f>
      </x:c>
      <x:c r="X17" s="2" t="str">
        <x:f>IF(AND(A17&lt;&gt;"",W17&lt;&gt;"PERIKSA waktu",ISNUMBER(K17),K17&gt;=0,ISNUMBER(I17),ISNUMBER(J17),J17&gt;=I17),K17,"")</x:f>
      </x:c>
      <x:c r="Y17" s="2" t="str">
        <x:f>IF(AND(A17&lt;&gt;"",W17&lt;&gt;"PERIKSA waktu",ISNUMBER(O17),O17&gt;=0,ISNUMBER(M17),ISNUMBER(N17),N17&gt;=M17),O17,"")</x:f>
      </x:c>
      <x:c r="Z17" s="2" t="str">
        <x:f>IF(AND(A17&lt;&gt;"",W17&lt;&gt;"PERIKSA waktu",ISNUMBER(T17),T17&gt;=0),T17,"")</x:f>
      </x:c>
      <x:c r="AA17" s="2" t="str">
        <x:f>IF(AND(A17&lt;&gt;"",W17&lt;&gt;"PERIKSA waktu",ISNUMBER(U17),U17&gt;=0),U17,"")</x:f>
      </x:c>
      <x:c r="AB17" s="2" t="str">
        <x:f>IF(AND(A17&lt;&gt;"",W17&lt;&gt;"PERIKSA waktu",ISNUMBER(V17),V17&gt;=0),V17,"")</x:f>
      </x:c>
    </x:row>
    <x:row r="18" ht="24" customHeight="1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" t="str">
        <x:f>IF(A18="","",IF(COUNT(H18,I18)=2,IF(I18&gt;=H18,I18-H18,"PERIKSA"),IF(COUNTA(H18,I18)=2,"PERIKSA","")))</x:f>
      </x:c>
      <x:c r="U18" s="2" t="str">
        <x:f>IF(A18="","",IF(COUNT(L18,M18)=2,IF(M18&gt;=L18,M18-L18,"PERIKSA"),IF(COUNTA(L18,M18)=2,"PERIKSA","")))</x:f>
      </x:c>
      <x:c r="V18" s="2" t="str">
        <x:f>IF(A18="","",IF(COUNT(H18,P18)=2,IF(P18&gt;=H18,P18-H18,"PERIKSA"),IF(COUNTA(H18,P18)=2,"PERIKSA","")))</x:f>
      </x:c>
      <x:c r="W18" s="2" t="str">
        <x:f>IF(A18="","",IF(OR(COUNTA(H18:P18)&lt;&gt;COUNT(H18:P18),MIN(H18:P18)&lt;0,AND(ISNUMBER(I18),ISNUMBER(J18),J18&lt;I18),AND(ISNUMBER(K18),ISNUMBER(I18),ISNUMBER(J18),K18&gt;J18-I18),AND(ISNUMBER(M18),ISNUMBER(N18),N18&lt;M18),AND(ISNUMBER(O18),ISNUMBER(M18),ISNUMBER(N18),O18&gt;N18-M18),AND(ISNUMBER(P18),ISNUMBER(J18),P18&lt;J18),AND(ISNUMBER(P18),ISNUMBER(N18),P18&lt;N18),T18="PERIKSA",U18="PERIKSA",V18="PERIKSA"),"PERIKSA waktu","telaah catatan"))</x:f>
      </x:c>
      <x:c r="X18" s="2" t="str">
        <x:f>IF(AND(A18&lt;&gt;"",W18&lt;&gt;"PERIKSA waktu",ISNUMBER(K18),K18&gt;=0,ISNUMBER(I18),ISNUMBER(J18),J18&gt;=I18),K18,"")</x:f>
      </x:c>
      <x:c r="Y18" s="2" t="str">
        <x:f>IF(AND(A18&lt;&gt;"",W18&lt;&gt;"PERIKSA waktu",ISNUMBER(O18),O18&gt;=0,ISNUMBER(M18),ISNUMBER(N18),N18&gt;=M18),O18,"")</x:f>
      </x:c>
      <x:c r="Z18" s="2" t="str">
        <x:f>IF(AND(A18&lt;&gt;"",W18&lt;&gt;"PERIKSA waktu",ISNUMBER(T18),T18&gt;=0),T18,"")</x:f>
      </x:c>
      <x:c r="AA18" s="2" t="str">
        <x:f>IF(AND(A18&lt;&gt;"",W18&lt;&gt;"PERIKSA waktu",ISNUMBER(U18),U18&gt;=0),U18,"")</x:f>
      </x:c>
      <x:c r="AB18" s="2" t="str">
        <x:f>IF(AND(A18&lt;&gt;"",W18&lt;&gt;"PERIKSA waktu",ISNUMBER(V18),V18&gt;=0),V18,"")</x:f>
      </x:c>
    </x:row>
    <x:row r="19" ht="24" customHeight="1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" t="str">
        <x:f>IF(A19="","",IF(COUNT(H19,I19)=2,IF(I19&gt;=H19,I19-H19,"PERIKSA"),IF(COUNTA(H19,I19)=2,"PERIKSA","")))</x:f>
      </x:c>
      <x:c r="U19" s="2" t="str">
        <x:f>IF(A19="","",IF(COUNT(L19,M19)=2,IF(M19&gt;=L19,M19-L19,"PERIKSA"),IF(COUNTA(L19,M19)=2,"PERIKSA","")))</x:f>
      </x:c>
      <x:c r="V19" s="2" t="str">
        <x:f>IF(A19="","",IF(COUNT(H19,P19)=2,IF(P19&gt;=H19,P19-H19,"PERIKSA"),IF(COUNTA(H19,P19)=2,"PERIKSA","")))</x:f>
      </x:c>
      <x:c r="W19" s="2" t="str">
        <x:f>IF(A19="","",IF(OR(COUNTA(H19:P19)&lt;&gt;COUNT(H19:P19),MIN(H19:P19)&lt;0,AND(ISNUMBER(I19),ISNUMBER(J19),J19&lt;I19),AND(ISNUMBER(K19),ISNUMBER(I19),ISNUMBER(J19),K19&gt;J19-I19),AND(ISNUMBER(M19),ISNUMBER(N19),N19&lt;M19),AND(ISNUMBER(O19),ISNUMBER(M19),ISNUMBER(N19),O19&gt;N19-M19),AND(ISNUMBER(P19),ISNUMBER(J19),P19&lt;J19),AND(ISNUMBER(P19),ISNUMBER(N19),P19&lt;N19),T19="PERIKSA",U19="PERIKSA",V19="PERIKSA"),"PERIKSA waktu","telaah catatan"))</x:f>
      </x:c>
      <x:c r="X19" s="2" t="str">
        <x:f>IF(AND(A19&lt;&gt;"",W19&lt;&gt;"PERIKSA waktu",ISNUMBER(K19),K19&gt;=0,ISNUMBER(I19),ISNUMBER(J19),J19&gt;=I19),K19,"")</x:f>
      </x:c>
      <x:c r="Y19" s="2" t="str">
        <x:f>IF(AND(A19&lt;&gt;"",W19&lt;&gt;"PERIKSA waktu",ISNUMBER(O19),O19&gt;=0,ISNUMBER(M19),ISNUMBER(N19),N19&gt;=M19),O19,"")</x:f>
      </x:c>
      <x:c r="Z19" s="2" t="str">
        <x:f>IF(AND(A19&lt;&gt;"",W19&lt;&gt;"PERIKSA waktu",ISNUMBER(T19),T19&gt;=0),T19,"")</x:f>
      </x:c>
      <x:c r="AA19" s="2" t="str">
        <x:f>IF(AND(A19&lt;&gt;"",W19&lt;&gt;"PERIKSA waktu",ISNUMBER(U19),U19&gt;=0),U19,"")</x:f>
      </x:c>
      <x:c r="AB19" s="2" t="str">
        <x:f>IF(AND(A19&lt;&gt;"",W19&lt;&gt;"PERIKSA waktu",ISNUMBER(V19),V19&gt;=0),V19,"")</x:f>
      </x:c>
    </x:row>
    <x:row r="20" ht="24" customHeight="1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" t="str">
        <x:f>IF(A20="","",IF(COUNT(H20,I20)=2,IF(I20&gt;=H20,I20-H20,"PERIKSA"),IF(COUNTA(H20,I20)=2,"PERIKSA","")))</x:f>
      </x:c>
      <x:c r="U20" s="2" t="str">
        <x:f>IF(A20="","",IF(COUNT(L20,M20)=2,IF(M20&gt;=L20,M20-L20,"PERIKSA"),IF(COUNTA(L20,M20)=2,"PERIKSA","")))</x:f>
      </x:c>
      <x:c r="V20" s="2" t="str">
        <x:f>IF(A20="","",IF(COUNT(H20,P20)=2,IF(P20&gt;=H20,P20-H20,"PERIKSA"),IF(COUNTA(H20,P20)=2,"PERIKSA","")))</x:f>
      </x:c>
      <x:c r="W20" s="2" t="str">
        <x:f>IF(A20="","",IF(OR(COUNTA(H20:P20)&lt;&gt;COUNT(H20:P20),MIN(H20:P20)&lt;0,AND(ISNUMBER(I20),ISNUMBER(J20),J20&lt;I20),AND(ISNUMBER(K20),ISNUMBER(I20),ISNUMBER(J20),K20&gt;J20-I20),AND(ISNUMBER(M20),ISNUMBER(N20),N20&lt;M20),AND(ISNUMBER(O20),ISNUMBER(M20),ISNUMBER(N20),O20&gt;N20-M20),AND(ISNUMBER(P20),ISNUMBER(J20),P20&lt;J20),AND(ISNUMBER(P20),ISNUMBER(N20),P20&lt;N20),T20="PERIKSA",U20="PERIKSA",V20="PERIKSA"),"PERIKSA waktu","telaah catatan"))</x:f>
      </x:c>
      <x:c r="X20" s="2" t="str">
        <x:f>IF(AND(A20&lt;&gt;"",W20&lt;&gt;"PERIKSA waktu",ISNUMBER(K20),K20&gt;=0,ISNUMBER(I20),ISNUMBER(J20),J20&gt;=I20),K20,"")</x:f>
      </x:c>
      <x:c r="Y20" s="2" t="str">
        <x:f>IF(AND(A20&lt;&gt;"",W20&lt;&gt;"PERIKSA waktu",ISNUMBER(O20),O20&gt;=0,ISNUMBER(M20),ISNUMBER(N20),N20&gt;=M20),O20,"")</x:f>
      </x:c>
      <x:c r="Z20" s="2" t="str">
        <x:f>IF(AND(A20&lt;&gt;"",W20&lt;&gt;"PERIKSA waktu",ISNUMBER(T20),T20&gt;=0),T20,"")</x:f>
      </x:c>
      <x:c r="AA20" s="2" t="str">
        <x:f>IF(AND(A20&lt;&gt;"",W20&lt;&gt;"PERIKSA waktu",ISNUMBER(U20),U20&gt;=0),U20,"")</x:f>
      </x:c>
      <x:c r="AB20" s="2" t="str">
        <x:f>IF(AND(A20&lt;&gt;"",W20&lt;&gt;"PERIKSA waktu",ISNUMBER(V20),V20&gt;=0),V20,"")</x:f>
      </x:c>
    </x:row>
    <x:row r="21" ht="24" customHeight="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" t="str">
        <x:f>IF(A21="","",IF(COUNT(H21,I21)=2,IF(I21&gt;=H21,I21-H21,"PERIKSA"),IF(COUNTA(H21,I21)=2,"PERIKSA","")))</x:f>
      </x:c>
      <x:c r="U21" s="2" t="str">
        <x:f>IF(A21="","",IF(COUNT(L21,M21)=2,IF(M21&gt;=L21,M21-L21,"PERIKSA"),IF(COUNTA(L21,M21)=2,"PERIKSA","")))</x:f>
      </x:c>
      <x:c r="V21" s="2" t="str">
        <x:f>IF(A21="","",IF(COUNT(H21,P21)=2,IF(P21&gt;=H21,P21-H21,"PERIKSA"),IF(COUNTA(H21,P21)=2,"PERIKSA","")))</x:f>
      </x:c>
      <x:c r="W21" s="2" t="str">
        <x:f>IF(A21="","",IF(OR(COUNTA(H21:P21)&lt;&gt;COUNT(H21:P21),MIN(H21:P21)&lt;0,AND(ISNUMBER(I21),ISNUMBER(J21),J21&lt;I21),AND(ISNUMBER(K21),ISNUMBER(I21),ISNUMBER(J21),K21&gt;J21-I21),AND(ISNUMBER(M21),ISNUMBER(N21),N21&lt;M21),AND(ISNUMBER(O21),ISNUMBER(M21),ISNUMBER(N21),O21&gt;N21-M21),AND(ISNUMBER(P21),ISNUMBER(J21),P21&lt;J21),AND(ISNUMBER(P21),ISNUMBER(N21),P21&lt;N21),T21="PERIKSA",U21="PERIKSA",V21="PERIKSA"),"PERIKSA waktu","telaah catatan"))</x:f>
      </x:c>
      <x:c r="X21" s="2" t="str">
        <x:f>IF(AND(A21&lt;&gt;"",W21&lt;&gt;"PERIKSA waktu",ISNUMBER(K21),K21&gt;=0,ISNUMBER(I21),ISNUMBER(J21),J21&gt;=I21),K21,"")</x:f>
      </x:c>
      <x:c r="Y21" s="2" t="str">
        <x:f>IF(AND(A21&lt;&gt;"",W21&lt;&gt;"PERIKSA waktu",ISNUMBER(O21),O21&gt;=0,ISNUMBER(M21),ISNUMBER(N21),N21&gt;=M21),O21,"")</x:f>
      </x:c>
      <x:c r="Z21" s="2" t="str">
        <x:f>IF(AND(A21&lt;&gt;"",W21&lt;&gt;"PERIKSA waktu",ISNUMBER(T21),T21&gt;=0),T21,"")</x:f>
      </x:c>
      <x:c r="AA21" s="2" t="str">
        <x:f>IF(AND(A21&lt;&gt;"",W21&lt;&gt;"PERIKSA waktu",ISNUMBER(U21),U21&gt;=0),U21,"")</x:f>
      </x:c>
      <x:c r="AB21" s="2" t="str">
        <x:f>IF(AND(A21&lt;&gt;"",W21&lt;&gt;"PERIKSA waktu",ISNUMBER(V21),V21&gt;=0),V21,"")</x:f>
      </x:c>
    </x:row>
    <x:row r="22" ht="24" customHeight="1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" t="str">
        <x:f>IF(A22="","",IF(COUNT(H22,I22)=2,IF(I22&gt;=H22,I22-H22,"PERIKSA"),IF(COUNTA(H22,I22)=2,"PERIKSA","")))</x:f>
      </x:c>
      <x:c r="U22" s="2" t="str">
        <x:f>IF(A22="","",IF(COUNT(L22,M22)=2,IF(M22&gt;=L22,M22-L22,"PERIKSA"),IF(COUNTA(L22,M22)=2,"PERIKSA","")))</x:f>
      </x:c>
      <x:c r="V22" s="2" t="str">
        <x:f>IF(A22="","",IF(COUNT(H22,P22)=2,IF(P22&gt;=H22,P22-H22,"PERIKSA"),IF(COUNTA(H22,P22)=2,"PERIKSA","")))</x:f>
      </x:c>
      <x:c r="W22" s="2" t="str">
        <x:f>IF(A22="","",IF(OR(COUNTA(H22:P22)&lt;&gt;COUNT(H22:P22),MIN(H22:P22)&lt;0,AND(ISNUMBER(I22),ISNUMBER(J22),J22&lt;I22),AND(ISNUMBER(K22),ISNUMBER(I22),ISNUMBER(J22),K22&gt;J22-I22),AND(ISNUMBER(M22),ISNUMBER(N22),N22&lt;M22),AND(ISNUMBER(O22),ISNUMBER(M22),ISNUMBER(N22),O22&gt;N22-M22),AND(ISNUMBER(P22),ISNUMBER(J22),P22&lt;J22),AND(ISNUMBER(P22),ISNUMBER(N22),P22&lt;N22),T22="PERIKSA",U22="PERIKSA",V22="PERIKSA"),"PERIKSA waktu","telaah catatan"))</x:f>
      </x:c>
      <x:c r="X22" s="2" t="str">
        <x:f>IF(AND(A22&lt;&gt;"",W22&lt;&gt;"PERIKSA waktu",ISNUMBER(K22),K22&gt;=0,ISNUMBER(I22),ISNUMBER(J22),J22&gt;=I22),K22,"")</x:f>
      </x:c>
      <x:c r="Y22" s="2" t="str">
        <x:f>IF(AND(A22&lt;&gt;"",W22&lt;&gt;"PERIKSA waktu",ISNUMBER(O22),O22&gt;=0,ISNUMBER(M22),ISNUMBER(N22),N22&gt;=M22),O22,"")</x:f>
      </x:c>
      <x:c r="Z22" s="2" t="str">
        <x:f>IF(AND(A22&lt;&gt;"",W22&lt;&gt;"PERIKSA waktu",ISNUMBER(T22),T22&gt;=0),T22,"")</x:f>
      </x:c>
      <x:c r="AA22" s="2" t="str">
        <x:f>IF(AND(A22&lt;&gt;"",W22&lt;&gt;"PERIKSA waktu",ISNUMBER(U22),U22&gt;=0),U22,"")</x:f>
      </x:c>
      <x:c r="AB22" s="2" t="str">
        <x:f>IF(AND(A22&lt;&gt;"",W22&lt;&gt;"PERIKSA waktu",ISNUMBER(V22),V22&gt;=0),V22,"")</x:f>
      </x:c>
    </x:row>
    <x:row r="23" ht="24" customHeight="1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" t="str">
        <x:f>IF(A23="","",IF(COUNT(H23,I23)=2,IF(I23&gt;=H23,I23-H23,"PERIKSA"),IF(COUNTA(H23,I23)=2,"PERIKSA","")))</x:f>
      </x:c>
      <x:c r="U23" s="2" t="str">
        <x:f>IF(A23="","",IF(COUNT(L23,M23)=2,IF(M23&gt;=L23,M23-L23,"PERIKSA"),IF(COUNTA(L23,M23)=2,"PERIKSA","")))</x:f>
      </x:c>
      <x:c r="V23" s="2" t="str">
        <x:f>IF(A23="","",IF(COUNT(H23,P23)=2,IF(P23&gt;=H23,P23-H23,"PERIKSA"),IF(COUNTA(H23,P23)=2,"PERIKSA","")))</x:f>
      </x:c>
      <x:c r="W23" s="2" t="str">
        <x:f>IF(A23="","",IF(OR(COUNTA(H23:P23)&lt;&gt;COUNT(H23:P23),MIN(H23:P23)&lt;0,AND(ISNUMBER(I23),ISNUMBER(J23),J23&lt;I23),AND(ISNUMBER(K23),ISNUMBER(I23),ISNUMBER(J23),K23&gt;J23-I23),AND(ISNUMBER(M23),ISNUMBER(N23),N23&lt;M23),AND(ISNUMBER(O23),ISNUMBER(M23),ISNUMBER(N23),O23&gt;N23-M23),AND(ISNUMBER(P23),ISNUMBER(J23),P23&lt;J23),AND(ISNUMBER(P23),ISNUMBER(N23),P23&lt;N23),T23="PERIKSA",U23="PERIKSA",V23="PERIKSA"),"PERIKSA waktu","telaah catatan"))</x:f>
      </x:c>
      <x:c r="X23" s="2" t="str">
        <x:f>IF(AND(A23&lt;&gt;"",W23&lt;&gt;"PERIKSA waktu",ISNUMBER(K23),K23&gt;=0,ISNUMBER(I23),ISNUMBER(J23),J23&gt;=I23),K23,"")</x:f>
      </x:c>
      <x:c r="Y23" s="2" t="str">
        <x:f>IF(AND(A23&lt;&gt;"",W23&lt;&gt;"PERIKSA waktu",ISNUMBER(O23),O23&gt;=0,ISNUMBER(M23),ISNUMBER(N23),N23&gt;=M23),O23,"")</x:f>
      </x:c>
      <x:c r="Z23" s="2" t="str">
        <x:f>IF(AND(A23&lt;&gt;"",W23&lt;&gt;"PERIKSA waktu",ISNUMBER(T23),T23&gt;=0),T23,"")</x:f>
      </x:c>
      <x:c r="AA23" s="2" t="str">
        <x:f>IF(AND(A23&lt;&gt;"",W23&lt;&gt;"PERIKSA waktu",ISNUMBER(U23),U23&gt;=0),U23,"")</x:f>
      </x:c>
      <x:c r="AB23" s="2" t="str">
        <x:f>IF(AND(A23&lt;&gt;"",W23&lt;&gt;"PERIKSA waktu",ISNUMBER(V23),V23&gt;=0),V23,"")</x:f>
      </x:c>
    </x:row>
    <x:row r="24" ht="24" customHeight="1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" t="str">
        <x:f>IF(A24="","",IF(COUNT(H24,I24)=2,IF(I24&gt;=H24,I24-H24,"PERIKSA"),IF(COUNTA(H24,I24)=2,"PERIKSA","")))</x:f>
      </x:c>
      <x:c r="U24" s="2" t="str">
        <x:f>IF(A24="","",IF(COUNT(L24,M24)=2,IF(M24&gt;=L24,M24-L24,"PERIKSA"),IF(COUNTA(L24,M24)=2,"PERIKSA","")))</x:f>
      </x:c>
      <x:c r="V24" s="2" t="str">
        <x:f>IF(A24="","",IF(COUNT(H24,P24)=2,IF(P24&gt;=H24,P24-H24,"PERIKSA"),IF(COUNTA(H24,P24)=2,"PERIKSA","")))</x:f>
      </x:c>
      <x:c r="W24" s="2" t="str">
        <x:f>IF(A24="","",IF(OR(COUNTA(H24:P24)&lt;&gt;COUNT(H24:P24),MIN(H24:P24)&lt;0,AND(ISNUMBER(I24),ISNUMBER(J24),J24&lt;I24),AND(ISNUMBER(K24),ISNUMBER(I24),ISNUMBER(J24),K24&gt;J24-I24),AND(ISNUMBER(M24),ISNUMBER(N24),N24&lt;M24),AND(ISNUMBER(O24),ISNUMBER(M24),ISNUMBER(N24),O24&gt;N24-M24),AND(ISNUMBER(P24),ISNUMBER(J24),P24&lt;J24),AND(ISNUMBER(P24),ISNUMBER(N24),P24&lt;N24),T24="PERIKSA",U24="PERIKSA",V24="PERIKSA"),"PERIKSA waktu","telaah catatan"))</x:f>
      </x:c>
      <x:c r="X24" s="2" t="str">
        <x:f>IF(AND(A24&lt;&gt;"",W24&lt;&gt;"PERIKSA waktu",ISNUMBER(K24),K24&gt;=0,ISNUMBER(I24),ISNUMBER(J24),J24&gt;=I24),K24,"")</x:f>
      </x:c>
      <x:c r="Y24" s="2" t="str">
        <x:f>IF(AND(A24&lt;&gt;"",W24&lt;&gt;"PERIKSA waktu",ISNUMBER(O24),O24&gt;=0,ISNUMBER(M24),ISNUMBER(N24),N24&gt;=M24),O24,"")</x:f>
      </x:c>
      <x:c r="Z24" s="2" t="str">
        <x:f>IF(AND(A24&lt;&gt;"",W24&lt;&gt;"PERIKSA waktu",ISNUMBER(T24),T24&gt;=0),T24,"")</x:f>
      </x:c>
      <x:c r="AA24" s="2" t="str">
        <x:f>IF(AND(A24&lt;&gt;"",W24&lt;&gt;"PERIKSA waktu",ISNUMBER(U24),U24&gt;=0),U24,"")</x:f>
      </x:c>
      <x:c r="AB24" s="2" t="str">
        <x:f>IF(AND(A24&lt;&gt;"",W24&lt;&gt;"PERIKSA waktu",ISNUMBER(V24),V24&gt;=0),V24,"")</x:f>
      </x:c>
    </x:row>
    <x:row r="25" ht="24" customHeight="1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" t="str">
        <x:f>IF(A25="","",IF(COUNT(H25,I25)=2,IF(I25&gt;=H25,I25-H25,"PERIKSA"),IF(COUNTA(H25,I25)=2,"PERIKSA","")))</x:f>
      </x:c>
      <x:c r="U25" s="2" t="str">
        <x:f>IF(A25="","",IF(COUNT(L25,M25)=2,IF(M25&gt;=L25,M25-L25,"PERIKSA"),IF(COUNTA(L25,M25)=2,"PERIKSA","")))</x:f>
      </x:c>
      <x:c r="V25" s="2" t="str">
        <x:f>IF(A25="","",IF(COUNT(H25,P25)=2,IF(P25&gt;=H25,P25-H25,"PERIKSA"),IF(COUNTA(H25,P25)=2,"PERIKSA","")))</x:f>
      </x:c>
      <x:c r="W25" s="2" t="str">
        <x:f>IF(A25="","",IF(OR(COUNTA(H25:P25)&lt;&gt;COUNT(H25:P25),MIN(H25:P25)&lt;0,AND(ISNUMBER(I25),ISNUMBER(J25),J25&lt;I25),AND(ISNUMBER(K25),ISNUMBER(I25),ISNUMBER(J25),K25&gt;J25-I25),AND(ISNUMBER(M25),ISNUMBER(N25),N25&lt;M25),AND(ISNUMBER(O25),ISNUMBER(M25),ISNUMBER(N25),O25&gt;N25-M25),AND(ISNUMBER(P25),ISNUMBER(J25),P25&lt;J25),AND(ISNUMBER(P25),ISNUMBER(N25),P25&lt;N25),T25="PERIKSA",U25="PERIKSA",V25="PERIKSA"),"PERIKSA waktu","telaah catatan"))</x:f>
      </x:c>
      <x:c r="X25" s="2" t="str">
        <x:f>IF(AND(A25&lt;&gt;"",W25&lt;&gt;"PERIKSA waktu",ISNUMBER(K25),K25&gt;=0,ISNUMBER(I25),ISNUMBER(J25),J25&gt;=I25),K25,"")</x:f>
      </x:c>
      <x:c r="Y25" s="2" t="str">
        <x:f>IF(AND(A25&lt;&gt;"",W25&lt;&gt;"PERIKSA waktu",ISNUMBER(O25),O25&gt;=0,ISNUMBER(M25),ISNUMBER(N25),N25&gt;=M25),O25,"")</x:f>
      </x:c>
      <x:c r="Z25" s="2" t="str">
        <x:f>IF(AND(A25&lt;&gt;"",W25&lt;&gt;"PERIKSA waktu",ISNUMBER(T25),T25&gt;=0),T25,"")</x:f>
      </x:c>
      <x:c r="AA25" s="2" t="str">
        <x:f>IF(AND(A25&lt;&gt;"",W25&lt;&gt;"PERIKSA waktu",ISNUMBER(U25),U25&gt;=0),U25,"")</x:f>
      </x:c>
      <x:c r="AB25" s="2" t="str">
        <x:f>IF(AND(A25&lt;&gt;"",W25&lt;&gt;"PERIKSA waktu",ISNUMBER(V25),V25&gt;=0),V25,"")</x:f>
      </x:c>
    </x:row>
    <x:row r="26" ht="24" customHeight="1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" t="str">
        <x:f>IF(A26="","",IF(COUNT(H26,I26)=2,IF(I26&gt;=H26,I26-H26,"PERIKSA"),IF(COUNTA(H26,I26)=2,"PERIKSA","")))</x:f>
      </x:c>
      <x:c r="U26" s="2" t="str">
        <x:f>IF(A26="","",IF(COUNT(L26,M26)=2,IF(M26&gt;=L26,M26-L26,"PERIKSA"),IF(COUNTA(L26,M26)=2,"PERIKSA","")))</x:f>
      </x:c>
      <x:c r="V26" s="2" t="str">
        <x:f>IF(A26="","",IF(COUNT(H26,P26)=2,IF(P26&gt;=H26,P26-H26,"PERIKSA"),IF(COUNTA(H26,P26)=2,"PERIKSA","")))</x:f>
      </x:c>
      <x:c r="W26" s="2" t="str">
        <x:f>IF(A26="","",IF(OR(COUNTA(H26:P26)&lt;&gt;COUNT(H26:P26),MIN(H26:P26)&lt;0,AND(ISNUMBER(I26),ISNUMBER(J26),J26&lt;I26),AND(ISNUMBER(K26),ISNUMBER(I26),ISNUMBER(J26),K26&gt;J26-I26),AND(ISNUMBER(M26),ISNUMBER(N26),N26&lt;M26),AND(ISNUMBER(O26),ISNUMBER(M26),ISNUMBER(N26),O26&gt;N26-M26),AND(ISNUMBER(P26),ISNUMBER(J26),P26&lt;J26),AND(ISNUMBER(P26),ISNUMBER(N26),P26&lt;N26),T26="PERIKSA",U26="PERIKSA",V26="PERIKSA"),"PERIKSA waktu","telaah catatan"))</x:f>
      </x:c>
      <x:c r="X26" s="2" t="str">
        <x:f>IF(AND(A26&lt;&gt;"",W26&lt;&gt;"PERIKSA waktu",ISNUMBER(K26),K26&gt;=0,ISNUMBER(I26),ISNUMBER(J26),J26&gt;=I26),K26,"")</x:f>
      </x:c>
      <x:c r="Y26" s="2" t="str">
        <x:f>IF(AND(A26&lt;&gt;"",W26&lt;&gt;"PERIKSA waktu",ISNUMBER(O26),O26&gt;=0,ISNUMBER(M26),ISNUMBER(N26),N26&gt;=M26),O26,"")</x:f>
      </x:c>
      <x:c r="Z26" s="2" t="str">
        <x:f>IF(AND(A26&lt;&gt;"",W26&lt;&gt;"PERIKSA waktu",ISNUMBER(T26),T26&gt;=0),T26,"")</x:f>
      </x:c>
      <x:c r="AA26" s="2" t="str">
        <x:f>IF(AND(A26&lt;&gt;"",W26&lt;&gt;"PERIKSA waktu",ISNUMBER(U26),U26&gt;=0),U26,"")</x:f>
      </x:c>
      <x:c r="AB26" s="2" t="str">
        <x:f>IF(AND(A26&lt;&gt;"",W26&lt;&gt;"PERIKSA waktu",ISNUMBER(V26),V26&gt;=0),V26,"")</x:f>
      </x:c>
    </x:row>
    <x:row r="27" ht="24" customHeight="1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" t="str">
        <x:f>IF(A27="","",IF(COUNT(H27,I27)=2,IF(I27&gt;=H27,I27-H27,"PERIKSA"),IF(COUNTA(H27,I27)=2,"PERIKSA","")))</x:f>
      </x:c>
      <x:c r="U27" s="2" t="str">
        <x:f>IF(A27="","",IF(COUNT(L27,M27)=2,IF(M27&gt;=L27,M27-L27,"PERIKSA"),IF(COUNTA(L27,M27)=2,"PERIKSA","")))</x:f>
      </x:c>
      <x:c r="V27" s="2" t="str">
        <x:f>IF(A27="","",IF(COUNT(H27,P27)=2,IF(P27&gt;=H27,P27-H27,"PERIKSA"),IF(COUNTA(H27,P27)=2,"PERIKSA","")))</x:f>
      </x:c>
      <x:c r="W27" s="2" t="str">
        <x:f>IF(A27="","",IF(OR(COUNTA(H27:P27)&lt;&gt;COUNT(H27:P27),MIN(H27:P27)&lt;0,AND(ISNUMBER(I27),ISNUMBER(J27),J27&lt;I27),AND(ISNUMBER(K27),ISNUMBER(I27),ISNUMBER(J27),K27&gt;J27-I27),AND(ISNUMBER(M27),ISNUMBER(N27),N27&lt;M27),AND(ISNUMBER(O27),ISNUMBER(M27),ISNUMBER(N27),O27&gt;N27-M27),AND(ISNUMBER(P27),ISNUMBER(J27),P27&lt;J27),AND(ISNUMBER(P27),ISNUMBER(N27),P27&lt;N27),T27="PERIKSA",U27="PERIKSA",V27="PERIKSA"),"PERIKSA waktu","telaah catatan"))</x:f>
      </x:c>
      <x:c r="X27" s="2" t="str">
        <x:f>IF(AND(A27&lt;&gt;"",W27&lt;&gt;"PERIKSA waktu",ISNUMBER(K27),K27&gt;=0,ISNUMBER(I27),ISNUMBER(J27),J27&gt;=I27),K27,"")</x:f>
      </x:c>
      <x:c r="Y27" s="2" t="str">
        <x:f>IF(AND(A27&lt;&gt;"",W27&lt;&gt;"PERIKSA waktu",ISNUMBER(O27),O27&gt;=0,ISNUMBER(M27),ISNUMBER(N27),N27&gt;=M27),O27,"")</x:f>
      </x:c>
      <x:c r="Z27" s="2" t="str">
        <x:f>IF(AND(A27&lt;&gt;"",W27&lt;&gt;"PERIKSA waktu",ISNUMBER(T27),T27&gt;=0),T27,"")</x:f>
      </x:c>
      <x:c r="AA27" s="2" t="str">
        <x:f>IF(AND(A27&lt;&gt;"",W27&lt;&gt;"PERIKSA waktu",ISNUMBER(U27),U27&gt;=0),U27,"")</x:f>
      </x:c>
      <x:c r="AB27" s="2" t="str">
        <x:f>IF(AND(A27&lt;&gt;"",W27&lt;&gt;"PERIKSA waktu",ISNUMBER(V27),V27&gt;=0),V27,"")</x:f>
      </x:c>
    </x:row>
    <x:row r="28" ht="24" customHeight="1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" t="str">
        <x:f>IF(A28="","",IF(COUNT(H28,I28)=2,IF(I28&gt;=H28,I28-H28,"PERIKSA"),IF(COUNTA(H28,I28)=2,"PERIKSA","")))</x:f>
      </x:c>
      <x:c r="U28" s="2" t="str">
        <x:f>IF(A28="","",IF(COUNT(L28,M28)=2,IF(M28&gt;=L28,M28-L28,"PERIKSA"),IF(COUNTA(L28,M28)=2,"PERIKSA","")))</x:f>
      </x:c>
      <x:c r="V28" s="2" t="str">
        <x:f>IF(A28="","",IF(COUNT(H28,P28)=2,IF(P28&gt;=H28,P28-H28,"PERIKSA"),IF(COUNTA(H28,P28)=2,"PERIKSA","")))</x:f>
      </x:c>
      <x:c r="W28" s="2" t="str">
        <x:f>IF(A28="","",IF(OR(COUNTA(H28:P28)&lt;&gt;COUNT(H28:P28),MIN(H28:P28)&lt;0,AND(ISNUMBER(I28),ISNUMBER(J28),J28&lt;I28),AND(ISNUMBER(K28),ISNUMBER(I28),ISNUMBER(J28),K28&gt;J28-I28),AND(ISNUMBER(M28),ISNUMBER(N28),N28&lt;M28),AND(ISNUMBER(O28),ISNUMBER(M28),ISNUMBER(N28),O28&gt;N28-M28),AND(ISNUMBER(P28),ISNUMBER(J28),P28&lt;J28),AND(ISNUMBER(P28),ISNUMBER(N28),P28&lt;N28),T28="PERIKSA",U28="PERIKSA",V28="PERIKSA"),"PERIKSA waktu","telaah catatan"))</x:f>
      </x:c>
      <x:c r="X28" s="2" t="str">
        <x:f>IF(AND(A28&lt;&gt;"",W28&lt;&gt;"PERIKSA waktu",ISNUMBER(K28),K28&gt;=0,ISNUMBER(I28),ISNUMBER(J28),J28&gt;=I28),K28,"")</x:f>
      </x:c>
      <x:c r="Y28" s="2" t="str">
        <x:f>IF(AND(A28&lt;&gt;"",W28&lt;&gt;"PERIKSA waktu",ISNUMBER(O28),O28&gt;=0,ISNUMBER(M28),ISNUMBER(N28),N28&gt;=M28),O28,"")</x:f>
      </x:c>
      <x:c r="Z28" s="2" t="str">
        <x:f>IF(AND(A28&lt;&gt;"",W28&lt;&gt;"PERIKSA waktu",ISNUMBER(T28),T28&gt;=0),T28,"")</x:f>
      </x:c>
      <x:c r="AA28" s="2" t="str">
        <x:f>IF(AND(A28&lt;&gt;"",W28&lt;&gt;"PERIKSA waktu",ISNUMBER(U28),U28&gt;=0),U28,"")</x:f>
      </x:c>
      <x:c r="AB28" s="2" t="str">
        <x:f>IF(AND(A28&lt;&gt;"",W28&lt;&gt;"PERIKSA waktu",ISNUMBER(V28),V28&gt;=0),V28,"")</x:f>
      </x:c>
    </x:row>
    <x:row r="29" ht="24" customHeight="1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" t="str">
        <x:f>IF(A29="","",IF(COUNT(H29,I29)=2,IF(I29&gt;=H29,I29-H29,"PERIKSA"),IF(COUNTA(H29,I29)=2,"PERIKSA","")))</x:f>
      </x:c>
      <x:c r="U29" s="2" t="str">
        <x:f>IF(A29="","",IF(COUNT(L29,M29)=2,IF(M29&gt;=L29,M29-L29,"PERIKSA"),IF(COUNTA(L29,M29)=2,"PERIKSA","")))</x:f>
      </x:c>
      <x:c r="V29" s="2" t="str">
        <x:f>IF(A29="","",IF(COUNT(H29,P29)=2,IF(P29&gt;=H29,P29-H29,"PERIKSA"),IF(COUNTA(H29,P29)=2,"PERIKSA","")))</x:f>
      </x:c>
      <x:c r="W29" s="2" t="str">
        <x:f>IF(A29="","",IF(OR(COUNTA(H29:P29)&lt;&gt;COUNT(H29:P29),MIN(H29:P29)&lt;0,AND(ISNUMBER(I29),ISNUMBER(J29),J29&lt;I29),AND(ISNUMBER(K29),ISNUMBER(I29),ISNUMBER(J29),K29&gt;J29-I29),AND(ISNUMBER(M29),ISNUMBER(N29),N29&lt;M29),AND(ISNUMBER(O29),ISNUMBER(M29),ISNUMBER(N29),O29&gt;N29-M29),AND(ISNUMBER(P29),ISNUMBER(J29),P29&lt;J29),AND(ISNUMBER(P29),ISNUMBER(N29),P29&lt;N29),T29="PERIKSA",U29="PERIKSA",V29="PERIKSA"),"PERIKSA waktu","telaah catatan"))</x:f>
      </x:c>
      <x:c r="X29" s="2" t="str">
        <x:f>IF(AND(A29&lt;&gt;"",W29&lt;&gt;"PERIKSA waktu",ISNUMBER(K29),K29&gt;=0,ISNUMBER(I29),ISNUMBER(J29),J29&gt;=I29),K29,"")</x:f>
      </x:c>
      <x:c r="Y29" s="2" t="str">
        <x:f>IF(AND(A29&lt;&gt;"",W29&lt;&gt;"PERIKSA waktu",ISNUMBER(O29),O29&gt;=0,ISNUMBER(M29),ISNUMBER(N29),N29&gt;=M29),O29,"")</x:f>
      </x:c>
      <x:c r="Z29" s="2" t="str">
        <x:f>IF(AND(A29&lt;&gt;"",W29&lt;&gt;"PERIKSA waktu",ISNUMBER(T29),T29&gt;=0),T29,"")</x:f>
      </x:c>
      <x:c r="AA29" s="2" t="str">
        <x:f>IF(AND(A29&lt;&gt;"",W29&lt;&gt;"PERIKSA waktu",ISNUMBER(U29),U29&gt;=0),U29,"")</x:f>
      </x:c>
      <x:c r="AB29" s="2" t="str">
        <x:f>IF(AND(A29&lt;&gt;"",W29&lt;&gt;"PERIKSA waktu",ISNUMBER(V29),V29&gt;=0),V29,"")</x:f>
      </x:c>
    </x:row>
    <x:row r="30" ht="24" customHeight="1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" t="str">
        <x:f>IF(A30="","",IF(COUNT(H30,I30)=2,IF(I30&gt;=H30,I30-H30,"PERIKSA"),IF(COUNTA(H30,I30)=2,"PERIKSA","")))</x:f>
      </x:c>
      <x:c r="U30" s="2" t="str">
        <x:f>IF(A30="","",IF(COUNT(L30,M30)=2,IF(M30&gt;=L30,M30-L30,"PERIKSA"),IF(COUNTA(L30,M30)=2,"PERIKSA","")))</x:f>
      </x:c>
      <x:c r="V30" s="2" t="str">
        <x:f>IF(A30="","",IF(COUNT(H30,P30)=2,IF(P30&gt;=H30,P30-H30,"PERIKSA"),IF(COUNTA(H30,P30)=2,"PERIKSA","")))</x:f>
      </x:c>
      <x:c r="W30" s="2" t="str">
        <x:f>IF(A30="","",IF(OR(COUNTA(H30:P30)&lt;&gt;COUNT(H30:P30),MIN(H30:P30)&lt;0,AND(ISNUMBER(I30),ISNUMBER(J30),J30&lt;I30),AND(ISNUMBER(K30),ISNUMBER(I30),ISNUMBER(J30),K30&gt;J30-I30),AND(ISNUMBER(M30),ISNUMBER(N30),N30&lt;M30),AND(ISNUMBER(O30),ISNUMBER(M30),ISNUMBER(N30),O30&gt;N30-M30),AND(ISNUMBER(P30),ISNUMBER(J30),P30&lt;J30),AND(ISNUMBER(P30),ISNUMBER(N30),P30&lt;N30),T30="PERIKSA",U30="PERIKSA",V30="PERIKSA"),"PERIKSA waktu","telaah catatan"))</x:f>
      </x:c>
      <x:c r="X30" s="2" t="str">
        <x:f>IF(AND(A30&lt;&gt;"",W30&lt;&gt;"PERIKSA waktu",ISNUMBER(K30),K30&gt;=0,ISNUMBER(I30),ISNUMBER(J30),J30&gt;=I30),K30,"")</x:f>
      </x:c>
      <x:c r="Y30" s="2" t="str">
        <x:f>IF(AND(A30&lt;&gt;"",W30&lt;&gt;"PERIKSA waktu",ISNUMBER(O30),O30&gt;=0,ISNUMBER(M30),ISNUMBER(N30),N30&gt;=M30),O30,"")</x:f>
      </x:c>
      <x:c r="Z30" s="2" t="str">
        <x:f>IF(AND(A30&lt;&gt;"",W30&lt;&gt;"PERIKSA waktu",ISNUMBER(T30),T30&gt;=0),T30,"")</x:f>
      </x:c>
      <x:c r="AA30" s="2" t="str">
        <x:f>IF(AND(A30&lt;&gt;"",W30&lt;&gt;"PERIKSA waktu",ISNUMBER(U30),U30&gt;=0),U30,"")</x:f>
      </x:c>
      <x:c r="AB30" s="2" t="str">
        <x:f>IF(AND(A30&lt;&gt;"",W30&lt;&gt;"PERIKSA waktu",ISNUMBER(V30),V30&gt;=0),V30,"")</x:f>
      </x:c>
    </x:row>
    <x:row r="31" ht="24" customHeight="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" t="str">
        <x:f>IF(A31="","",IF(COUNT(H31,I31)=2,IF(I31&gt;=H31,I31-H31,"PERIKSA"),IF(COUNTA(H31,I31)=2,"PERIKSA","")))</x:f>
      </x:c>
      <x:c r="U31" s="2" t="str">
        <x:f>IF(A31="","",IF(COUNT(L31,M31)=2,IF(M31&gt;=L31,M31-L31,"PERIKSA"),IF(COUNTA(L31,M31)=2,"PERIKSA","")))</x:f>
      </x:c>
      <x:c r="V31" s="2" t="str">
        <x:f>IF(A31="","",IF(COUNT(H31,P31)=2,IF(P31&gt;=H31,P31-H31,"PERIKSA"),IF(COUNTA(H31,P31)=2,"PERIKSA","")))</x:f>
      </x:c>
      <x:c r="W31" s="2" t="str">
        <x:f>IF(A31="","",IF(OR(COUNTA(H31:P31)&lt;&gt;COUNT(H31:P31),MIN(H31:P31)&lt;0,AND(ISNUMBER(I31),ISNUMBER(J31),J31&lt;I31),AND(ISNUMBER(K31),ISNUMBER(I31),ISNUMBER(J31),K31&gt;J31-I31),AND(ISNUMBER(M31),ISNUMBER(N31),N31&lt;M31),AND(ISNUMBER(O31),ISNUMBER(M31),ISNUMBER(N31),O31&gt;N31-M31),AND(ISNUMBER(P31),ISNUMBER(J31),P31&lt;J31),AND(ISNUMBER(P31),ISNUMBER(N31),P31&lt;N31),T31="PERIKSA",U31="PERIKSA",V31="PERIKSA"),"PERIKSA waktu","telaah catatan"))</x:f>
      </x:c>
      <x:c r="X31" s="2" t="str">
        <x:f>IF(AND(A31&lt;&gt;"",W31&lt;&gt;"PERIKSA waktu",ISNUMBER(K31),K31&gt;=0,ISNUMBER(I31),ISNUMBER(J31),J31&gt;=I31),K31,"")</x:f>
      </x:c>
      <x:c r="Y31" s="2" t="str">
        <x:f>IF(AND(A31&lt;&gt;"",W31&lt;&gt;"PERIKSA waktu",ISNUMBER(O31),O31&gt;=0,ISNUMBER(M31),ISNUMBER(N31),N31&gt;=M31),O31,"")</x:f>
      </x:c>
      <x:c r="Z31" s="2" t="str">
        <x:f>IF(AND(A31&lt;&gt;"",W31&lt;&gt;"PERIKSA waktu",ISNUMBER(T31),T31&gt;=0),T31,"")</x:f>
      </x:c>
      <x:c r="AA31" s="2" t="str">
        <x:f>IF(AND(A31&lt;&gt;"",W31&lt;&gt;"PERIKSA waktu",ISNUMBER(U31),U31&gt;=0),U31,"")</x:f>
      </x:c>
      <x:c r="AB31" s="2" t="str">
        <x:f>IF(AND(A31&lt;&gt;"",W31&lt;&gt;"PERIKSA waktu",ISNUMBER(V31),V31&gt;=0),V31,"")</x:f>
      </x:c>
    </x:row>
    <x:row r="32" ht="24" customHeight="1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" t="str">
        <x:f>IF(A32="","",IF(COUNT(H32,I32)=2,IF(I32&gt;=H32,I32-H32,"PERIKSA"),IF(COUNTA(H32,I32)=2,"PERIKSA","")))</x:f>
      </x:c>
      <x:c r="U32" s="2" t="str">
        <x:f>IF(A32="","",IF(COUNT(L32,M32)=2,IF(M32&gt;=L32,M32-L32,"PERIKSA"),IF(COUNTA(L32,M32)=2,"PERIKSA","")))</x:f>
      </x:c>
      <x:c r="V32" s="2" t="str">
        <x:f>IF(A32="","",IF(COUNT(H32,P32)=2,IF(P32&gt;=H32,P32-H32,"PERIKSA"),IF(COUNTA(H32,P32)=2,"PERIKSA","")))</x:f>
      </x:c>
      <x:c r="W32" s="2" t="str">
        <x:f>IF(A32="","",IF(OR(COUNTA(H32:P32)&lt;&gt;COUNT(H32:P32),MIN(H32:P32)&lt;0,AND(ISNUMBER(I32),ISNUMBER(J32),J32&lt;I32),AND(ISNUMBER(K32),ISNUMBER(I32),ISNUMBER(J32),K32&gt;J32-I32),AND(ISNUMBER(M32),ISNUMBER(N32),N32&lt;M32),AND(ISNUMBER(O32),ISNUMBER(M32),ISNUMBER(N32),O32&gt;N32-M32),AND(ISNUMBER(P32),ISNUMBER(J32),P32&lt;J32),AND(ISNUMBER(P32),ISNUMBER(N32),P32&lt;N32),T32="PERIKSA",U32="PERIKSA",V32="PERIKSA"),"PERIKSA waktu","telaah catatan"))</x:f>
      </x:c>
      <x:c r="X32" s="2" t="str">
        <x:f>IF(AND(A32&lt;&gt;"",W32&lt;&gt;"PERIKSA waktu",ISNUMBER(K32),K32&gt;=0,ISNUMBER(I32),ISNUMBER(J32),J32&gt;=I32),K32,"")</x:f>
      </x:c>
      <x:c r="Y32" s="2" t="str">
        <x:f>IF(AND(A32&lt;&gt;"",W32&lt;&gt;"PERIKSA waktu",ISNUMBER(O32),O32&gt;=0,ISNUMBER(M32),ISNUMBER(N32),N32&gt;=M32),O32,"")</x:f>
      </x:c>
      <x:c r="Z32" s="2" t="str">
        <x:f>IF(AND(A32&lt;&gt;"",W32&lt;&gt;"PERIKSA waktu",ISNUMBER(T32),T32&gt;=0),T32,"")</x:f>
      </x:c>
      <x:c r="AA32" s="2" t="str">
        <x:f>IF(AND(A32&lt;&gt;"",W32&lt;&gt;"PERIKSA waktu",ISNUMBER(U32),U32&gt;=0),U32,"")</x:f>
      </x:c>
      <x:c r="AB32" s="2" t="str">
        <x:f>IF(AND(A32&lt;&gt;"",W32&lt;&gt;"PERIKSA waktu",ISNUMBER(V32),V32&gt;=0),V32,"")</x:f>
      </x:c>
    </x:row>
    <x:row r="33" ht="24" customHeight="1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" t="str">
        <x:f>IF(A33="","",IF(COUNT(H33,I33)=2,IF(I33&gt;=H33,I33-H33,"PERIKSA"),IF(COUNTA(H33,I33)=2,"PERIKSA","")))</x:f>
      </x:c>
      <x:c r="U33" s="2" t="str">
        <x:f>IF(A33="","",IF(COUNT(L33,M33)=2,IF(M33&gt;=L33,M33-L33,"PERIKSA"),IF(COUNTA(L33,M33)=2,"PERIKSA","")))</x:f>
      </x:c>
      <x:c r="V33" s="2" t="str">
        <x:f>IF(A33="","",IF(COUNT(H33,P33)=2,IF(P33&gt;=H33,P33-H33,"PERIKSA"),IF(COUNTA(H33,P33)=2,"PERIKSA","")))</x:f>
      </x:c>
      <x:c r="W33" s="2" t="str">
        <x:f>IF(A33="","",IF(OR(COUNTA(H33:P33)&lt;&gt;COUNT(H33:P33),MIN(H33:P33)&lt;0,AND(ISNUMBER(I33),ISNUMBER(J33),J33&lt;I33),AND(ISNUMBER(K33),ISNUMBER(I33),ISNUMBER(J33),K33&gt;J33-I33),AND(ISNUMBER(M33),ISNUMBER(N33),N33&lt;M33),AND(ISNUMBER(O33),ISNUMBER(M33),ISNUMBER(N33),O33&gt;N33-M33),AND(ISNUMBER(P33),ISNUMBER(J33),P33&lt;J33),AND(ISNUMBER(P33),ISNUMBER(N33),P33&lt;N33),T33="PERIKSA",U33="PERIKSA",V33="PERIKSA"),"PERIKSA waktu","telaah catatan"))</x:f>
      </x:c>
      <x:c r="X33" s="2" t="str">
        <x:f>IF(AND(A33&lt;&gt;"",W33&lt;&gt;"PERIKSA waktu",ISNUMBER(K33),K33&gt;=0,ISNUMBER(I33),ISNUMBER(J33),J33&gt;=I33),K33,"")</x:f>
      </x:c>
      <x:c r="Y33" s="2" t="str">
        <x:f>IF(AND(A33&lt;&gt;"",W33&lt;&gt;"PERIKSA waktu",ISNUMBER(O33),O33&gt;=0,ISNUMBER(M33),ISNUMBER(N33),N33&gt;=M33),O33,"")</x:f>
      </x:c>
      <x:c r="Z33" s="2" t="str">
        <x:f>IF(AND(A33&lt;&gt;"",W33&lt;&gt;"PERIKSA waktu",ISNUMBER(T33),T33&gt;=0),T33,"")</x:f>
      </x:c>
      <x:c r="AA33" s="2" t="str">
        <x:f>IF(AND(A33&lt;&gt;"",W33&lt;&gt;"PERIKSA waktu",ISNUMBER(U33),U33&gt;=0),U33,"")</x:f>
      </x:c>
      <x:c r="AB33" s="2" t="str">
        <x:f>IF(AND(A33&lt;&gt;"",W33&lt;&gt;"PERIKSA waktu",ISNUMBER(V33),V33&gt;=0),V33,"")</x:f>
      </x:c>
    </x:row>
    <x:row r="34" ht="24" customHeight="1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" t="str">
        <x:f>IF(A34="","",IF(COUNT(H34,I34)=2,IF(I34&gt;=H34,I34-H34,"PERIKSA"),IF(COUNTA(H34,I34)=2,"PERIKSA","")))</x:f>
      </x:c>
      <x:c r="U34" s="2" t="str">
        <x:f>IF(A34="","",IF(COUNT(L34,M34)=2,IF(M34&gt;=L34,M34-L34,"PERIKSA"),IF(COUNTA(L34,M34)=2,"PERIKSA","")))</x:f>
      </x:c>
      <x:c r="V34" s="2" t="str">
        <x:f>IF(A34="","",IF(COUNT(H34,P34)=2,IF(P34&gt;=H34,P34-H34,"PERIKSA"),IF(COUNTA(H34,P34)=2,"PERIKSA","")))</x:f>
      </x:c>
      <x:c r="W34" s="2" t="str">
        <x:f>IF(A34="","",IF(OR(COUNTA(H34:P34)&lt;&gt;COUNT(H34:P34),MIN(H34:P34)&lt;0,AND(ISNUMBER(I34),ISNUMBER(J34),J34&lt;I34),AND(ISNUMBER(K34),ISNUMBER(I34),ISNUMBER(J34),K34&gt;J34-I34),AND(ISNUMBER(M34),ISNUMBER(N34),N34&lt;M34),AND(ISNUMBER(O34),ISNUMBER(M34),ISNUMBER(N34),O34&gt;N34-M34),AND(ISNUMBER(P34),ISNUMBER(J34),P34&lt;J34),AND(ISNUMBER(P34),ISNUMBER(N34),P34&lt;N34),T34="PERIKSA",U34="PERIKSA",V34="PERIKSA"),"PERIKSA waktu","telaah catatan"))</x:f>
      </x:c>
      <x:c r="X34" s="2" t="str">
        <x:f>IF(AND(A34&lt;&gt;"",W34&lt;&gt;"PERIKSA waktu",ISNUMBER(K34),K34&gt;=0,ISNUMBER(I34),ISNUMBER(J34),J34&gt;=I34),K34,"")</x:f>
      </x:c>
      <x:c r="Y34" s="2" t="str">
        <x:f>IF(AND(A34&lt;&gt;"",W34&lt;&gt;"PERIKSA waktu",ISNUMBER(O34),O34&gt;=0,ISNUMBER(M34),ISNUMBER(N34),N34&gt;=M34),O34,"")</x:f>
      </x:c>
      <x:c r="Z34" s="2" t="str">
        <x:f>IF(AND(A34&lt;&gt;"",W34&lt;&gt;"PERIKSA waktu",ISNUMBER(T34),T34&gt;=0),T34,"")</x:f>
      </x:c>
      <x:c r="AA34" s="2" t="str">
        <x:f>IF(AND(A34&lt;&gt;"",W34&lt;&gt;"PERIKSA waktu",ISNUMBER(U34),U34&gt;=0),U34,"")</x:f>
      </x:c>
      <x:c r="AB34" s="2" t="str">
        <x:f>IF(AND(A34&lt;&gt;"",W34&lt;&gt;"PERIKSA waktu",ISNUMBER(V34),V34&gt;=0),V34,"")</x:f>
      </x:c>
    </x:row>
    <x:row r="35" ht="24" customHeight="1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" t="str">
        <x:f>IF(A35="","",IF(COUNT(H35,I35)=2,IF(I35&gt;=H35,I35-H35,"PERIKSA"),IF(COUNTA(H35,I35)=2,"PERIKSA","")))</x:f>
      </x:c>
      <x:c r="U35" s="2" t="str">
        <x:f>IF(A35="","",IF(COUNT(L35,M35)=2,IF(M35&gt;=L35,M35-L35,"PERIKSA"),IF(COUNTA(L35,M35)=2,"PERIKSA","")))</x:f>
      </x:c>
      <x:c r="V35" s="2" t="str">
        <x:f>IF(A35="","",IF(COUNT(H35,P35)=2,IF(P35&gt;=H35,P35-H35,"PERIKSA"),IF(COUNTA(H35,P35)=2,"PERIKSA","")))</x:f>
      </x:c>
      <x:c r="W35" s="2" t="str">
        <x:f>IF(A35="","",IF(OR(COUNTA(H35:P35)&lt;&gt;COUNT(H35:P35),MIN(H35:P35)&lt;0,AND(ISNUMBER(I35),ISNUMBER(J35),J35&lt;I35),AND(ISNUMBER(K35),ISNUMBER(I35),ISNUMBER(J35),K35&gt;J35-I35),AND(ISNUMBER(M35),ISNUMBER(N35),N35&lt;M35),AND(ISNUMBER(O35),ISNUMBER(M35),ISNUMBER(N35),O35&gt;N35-M35),AND(ISNUMBER(P35),ISNUMBER(J35),P35&lt;J35),AND(ISNUMBER(P35),ISNUMBER(N35),P35&lt;N35),T35="PERIKSA",U35="PERIKSA",V35="PERIKSA"),"PERIKSA waktu","telaah catatan"))</x:f>
      </x:c>
      <x:c r="X35" s="2" t="str">
        <x:f>IF(AND(A35&lt;&gt;"",W35&lt;&gt;"PERIKSA waktu",ISNUMBER(K35),K35&gt;=0,ISNUMBER(I35),ISNUMBER(J35),J35&gt;=I35),K35,"")</x:f>
      </x:c>
      <x:c r="Y35" s="2" t="str">
        <x:f>IF(AND(A35&lt;&gt;"",W35&lt;&gt;"PERIKSA waktu",ISNUMBER(O35),O35&gt;=0,ISNUMBER(M35),ISNUMBER(N35),N35&gt;=M35),O35,"")</x:f>
      </x:c>
      <x:c r="Z35" s="2" t="str">
        <x:f>IF(AND(A35&lt;&gt;"",W35&lt;&gt;"PERIKSA waktu",ISNUMBER(T35),T35&gt;=0),T35,"")</x:f>
      </x:c>
      <x:c r="AA35" s="2" t="str">
        <x:f>IF(AND(A35&lt;&gt;"",W35&lt;&gt;"PERIKSA waktu",ISNUMBER(U35),U35&gt;=0),U35,"")</x:f>
      </x:c>
      <x:c r="AB35" s="2" t="str">
        <x:f>IF(AND(A35&lt;&gt;"",W35&lt;&gt;"PERIKSA waktu",ISNUMBER(V35),V35&gt;=0),V35,"")</x:f>
      </x:c>
    </x:row>
    <x:row r="36" ht="24" customHeight="1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" t="str">
        <x:f>IF(A36="","",IF(COUNT(H36,I36)=2,IF(I36&gt;=H36,I36-H36,"PERIKSA"),IF(COUNTA(H36,I36)=2,"PERIKSA","")))</x:f>
      </x:c>
      <x:c r="U36" s="2" t="str">
        <x:f>IF(A36="","",IF(COUNT(L36,M36)=2,IF(M36&gt;=L36,M36-L36,"PERIKSA"),IF(COUNTA(L36,M36)=2,"PERIKSA","")))</x:f>
      </x:c>
      <x:c r="V36" s="2" t="str">
        <x:f>IF(A36="","",IF(COUNT(H36,P36)=2,IF(P36&gt;=H36,P36-H36,"PERIKSA"),IF(COUNTA(H36,P36)=2,"PERIKSA","")))</x:f>
      </x:c>
      <x:c r="W36" s="2" t="str">
        <x:f>IF(A36="","",IF(OR(COUNTA(H36:P36)&lt;&gt;COUNT(H36:P36),MIN(H36:P36)&lt;0,AND(ISNUMBER(I36),ISNUMBER(J36),J36&lt;I36),AND(ISNUMBER(K36),ISNUMBER(I36),ISNUMBER(J36),K36&gt;J36-I36),AND(ISNUMBER(M36),ISNUMBER(N36),N36&lt;M36),AND(ISNUMBER(O36),ISNUMBER(M36),ISNUMBER(N36),O36&gt;N36-M36),AND(ISNUMBER(P36),ISNUMBER(J36),P36&lt;J36),AND(ISNUMBER(P36),ISNUMBER(N36),P36&lt;N36),T36="PERIKSA",U36="PERIKSA",V36="PERIKSA"),"PERIKSA waktu","telaah catatan"))</x:f>
      </x:c>
      <x:c r="X36" s="2" t="str">
        <x:f>IF(AND(A36&lt;&gt;"",W36&lt;&gt;"PERIKSA waktu",ISNUMBER(K36),K36&gt;=0,ISNUMBER(I36),ISNUMBER(J36),J36&gt;=I36),K36,"")</x:f>
      </x:c>
      <x:c r="Y36" s="2" t="str">
        <x:f>IF(AND(A36&lt;&gt;"",W36&lt;&gt;"PERIKSA waktu",ISNUMBER(O36),O36&gt;=0,ISNUMBER(M36),ISNUMBER(N36),N36&gt;=M36),O36,"")</x:f>
      </x:c>
      <x:c r="Z36" s="2" t="str">
        <x:f>IF(AND(A36&lt;&gt;"",W36&lt;&gt;"PERIKSA waktu",ISNUMBER(T36),T36&gt;=0),T36,"")</x:f>
      </x:c>
      <x:c r="AA36" s="2" t="str">
        <x:f>IF(AND(A36&lt;&gt;"",W36&lt;&gt;"PERIKSA waktu",ISNUMBER(U36),U36&gt;=0),U36,"")</x:f>
      </x:c>
      <x:c r="AB36" s="2" t="str">
        <x:f>IF(AND(A36&lt;&gt;"",W36&lt;&gt;"PERIKSA waktu",ISNUMBER(V36),V36&gt;=0),V36,"")</x:f>
      </x:c>
    </x:row>
    <x:row r="37" ht="24" customHeight="1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" t="str">
        <x:f>IF(A37="","",IF(COUNT(H37,I37)=2,IF(I37&gt;=H37,I37-H37,"PERIKSA"),IF(COUNTA(H37,I37)=2,"PERIKSA","")))</x:f>
      </x:c>
      <x:c r="U37" s="2" t="str">
        <x:f>IF(A37="","",IF(COUNT(L37,M37)=2,IF(M37&gt;=L37,M37-L37,"PERIKSA"),IF(COUNTA(L37,M37)=2,"PERIKSA","")))</x:f>
      </x:c>
      <x:c r="V37" s="2" t="str">
        <x:f>IF(A37="","",IF(COUNT(H37,P37)=2,IF(P37&gt;=H37,P37-H37,"PERIKSA"),IF(COUNTA(H37,P37)=2,"PERIKSA","")))</x:f>
      </x:c>
      <x:c r="W37" s="2" t="str">
        <x:f>IF(A37="","",IF(OR(COUNTA(H37:P37)&lt;&gt;COUNT(H37:P37),MIN(H37:P37)&lt;0,AND(ISNUMBER(I37),ISNUMBER(J37),J37&lt;I37),AND(ISNUMBER(K37),ISNUMBER(I37),ISNUMBER(J37),K37&gt;J37-I37),AND(ISNUMBER(M37),ISNUMBER(N37),N37&lt;M37),AND(ISNUMBER(O37),ISNUMBER(M37),ISNUMBER(N37),O37&gt;N37-M37),AND(ISNUMBER(P37),ISNUMBER(J37),P37&lt;J37),AND(ISNUMBER(P37),ISNUMBER(N37),P37&lt;N37),T37="PERIKSA",U37="PERIKSA",V37="PERIKSA"),"PERIKSA waktu","telaah catatan"))</x:f>
      </x:c>
      <x:c r="X37" s="2" t="str">
        <x:f>IF(AND(A37&lt;&gt;"",W37&lt;&gt;"PERIKSA waktu",ISNUMBER(K37),K37&gt;=0,ISNUMBER(I37),ISNUMBER(J37),J37&gt;=I37),K37,"")</x:f>
      </x:c>
      <x:c r="Y37" s="2" t="str">
        <x:f>IF(AND(A37&lt;&gt;"",W37&lt;&gt;"PERIKSA waktu",ISNUMBER(O37),O37&gt;=0,ISNUMBER(M37),ISNUMBER(N37),N37&gt;=M37),O37,"")</x:f>
      </x:c>
      <x:c r="Z37" s="2" t="str">
        <x:f>IF(AND(A37&lt;&gt;"",W37&lt;&gt;"PERIKSA waktu",ISNUMBER(T37),T37&gt;=0),T37,"")</x:f>
      </x:c>
      <x:c r="AA37" s="2" t="str">
        <x:f>IF(AND(A37&lt;&gt;"",W37&lt;&gt;"PERIKSA waktu",ISNUMBER(U37),U37&gt;=0),U37,"")</x:f>
      </x:c>
      <x:c r="AB37" s="2" t="str">
        <x:f>IF(AND(A37&lt;&gt;"",W37&lt;&gt;"PERIKSA waktu",ISNUMBER(V37),V37&gt;=0),V37,"")</x:f>
      </x:c>
    </x:row>
    <x:row r="38" ht="24" customHeight="1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" t="str">
        <x:f>IF(A38="","",IF(COUNT(H38,I38)=2,IF(I38&gt;=H38,I38-H38,"PERIKSA"),IF(COUNTA(H38,I38)=2,"PERIKSA","")))</x:f>
      </x:c>
      <x:c r="U38" s="2" t="str">
        <x:f>IF(A38="","",IF(COUNT(L38,M38)=2,IF(M38&gt;=L38,M38-L38,"PERIKSA"),IF(COUNTA(L38,M38)=2,"PERIKSA","")))</x:f>
      </x:c>
      <x:c r="V38" s="2" t="str">
        <x:f>IF(A38="","",IF(COUNT(H38,P38)=2,IF(P38&gt;=H38,P38-H38,"PERIKSA"),IF(COUNTA(H38,P38)=2,"PERIKSA","")))</x:f>
      </x:c>
      <x:c r="W38" s="2" t="str">
        <x:f>IF(A38="","",IF(OR(COUNTA(H38:P38)&lt;&gt;COUNT(H38:P38),MIN(H38:P38)&lt;0,AND(ISNUMBER(I38),ISNUMBER(J38),J38&lt;I38),AND(ISNUMBER(K38),ISNUMBER(I38),ISNUMBER(J38),K38&gt;J38-I38),AND(ISNUMBER(M38),ISNUMBER(N38),N38&lt;M38),AND(ISNUMBER(O38),ISNUMBER(M38),ISNUMBER(N38),O38&gt;N38-M38),AND(ISNUMBER(P38),ISNUMBER(J38),P38&lt;J38),AND(ISNUMBER(P38),ISNUMBER(N38),P38&lt;N38),T38="PERIKSA",U38="PERIKSA",V38="PERIKSA"),"PERIKSA waktu","telaah catatan"))</x:f>
      </x:c>
      <x:c r="X38" s="2" t="str">
        <x:f>IF(AND(A38&lt;&gt;"",W38&lt;&gt;"PERIKSA waktu",ISNUMBER(K38),K38&gt;=0,ISNUMBER(I38),ISNUMBER(J38),J38&gt;=I38),K38,"")</x:f>
      </x:c>
      <x:c r="Y38" s="2" t="str">
        <x:f>IF(AND(A38&lt;&gt;"",W38&lt;&gt;"PERIKSA waktu",ISNUMBER(O38),O38&gt;=0,ISNUMBER(M38),ISNUMBER(N38),N38&gt;=M38),O38,"")</x:f>
      </x:c>
      <x:c r="Z38" s="2" t="str">
        <x:f>IF(AND(A38&lt;&gt;"",W38&lt;&gt;"PERIKSA waktu",ISNUMBER(T38),T38&gt;=0),T38,"")</x:f>
      </x:c>
      <x:c r="AA38" s="2" t="str">
        <x:f>IF(AND(A38&lt;&gt;"",W38&lt;&gt;"PERIKSA waktu",ISNUMBER(U38),U38&gt;=0),U38,"")</x:f>
      </x:c>
      <x:c r="AB38" s="2" t="str">
        <x:f>IF(AND(A38&lt;&gt;"",W38&lt;&gt;"PERIKSA waktu",ISNUMBER(V38),V38&gt;=0),V38,"")</x:f>
      </x:c>
    </x:row>
    <x:row r="39" ht="24" customHeight="1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" t="str">
        <x:f>IF(A39="","",IF(COUNT(H39,I39)=2,IF(I39&gt;=H39,I39-H39,"PERIKSA"),IF(COUNTA(H39,I39)=2,"PERIKSA","")))</x:f>
      </x:c>
      <x:c r="U39" s="2" t="str">
        <x:f>IF(A39="","",IF(COUNT(L39,M39)=2,IF(M39&gt;=L39,M39-L39,"PERIKSA"),IF(COUNTA(L39,M39)=2,"PERIKSA","")))</x:f>
      </x:c>
      <x:c r="V39" s="2" t="str">
        <x:f>IF(A39="","",IF(COUNT(H39,P39)=2,IF(P39&gt;=H39,P39-H39,"PERIKSA"),IF(COUNTA(H39,P39)=2,"PERIKSA","")))</x:f>
      </x:c>
      <x:c r="W39" s="2" t="str">
        <x:f>IF(A39="","",IF(OR(COUNTA(H39:P39)&lt;&gt;COUNT(H39:P39),MIN(H39:P39)&lt;0,AND(ISNUMBER(I39),ISNUMBER(J39),J39&lt;I39),AND(ISNUMBER(K39),ISNUMBER(I39),ISNUMBER(J39),K39&gt;J39-I39),AND(ISNUMBER(M39),ISNUMBER(N39),N39&lt;M39),AND(ISNUMBER(O39),ISNUMBER(M39),ISNUMBER(N39),O39&gt;N39-M39),AND(ISNUMBER(P39),ISNUMBER(J39),P39&lt;J39),AND(ISNUMBER(P39),ISNUMBER(N39),P39&lt;N39),T39="PERIKSA",U39="PERIKSA",V39="PERIKSA"),"PERIKSA waktu","telaah catatan"))</x:f>
      </x:c>
      <x:c r="X39" s="2" t="str">
        <x:f>IF(AND(A39&lt;&gt;"",W39&lt;&gt;"PERIKSA waktu",ISNUMBER(K39),K39&gt;=0,ISNUMBER(I39),ISNUMBER(J39),J39&gt;=I39),K39,"")</x:f>
      </x:c>
      <x:c r="Y39" s="2" t="str">
        <x:f>IF(AND(A39&lt;&gt;"",W39&lt;&gt;"PERIKSA waktu",ISNUMBER(O39),O39&gt;=0,ISNUMBER(M39),ISNUMBER(N39),N39&gt;=M39),O39,"")</x:f>
      </x:c>
      <x:c r="Z39" s="2" t="str">
        <x:f>IF(AND(A39&lt;&gt;"",W39&lt;&gt;"PERIKSA waktu",ISNUMBER(T39),T39&gt;=0),T39,"")</x:f>
      </x:c>
      <x:c r="AA39" s="2" t="str">
        <x:f>IF(AND(A39&lt;&gt;"",W39&lt;&gt;"PERIKSA waktu",ISNUMBER(U39),U39&gt;=0),U39,"")</x:f>
      </x:c>
      <x:c r="AB39" s="2" t="str">
        <x:f>IF(AND(A39&lt;&gt;"",W39&lt;&gt;"PERIKSA waktu",ISNUMBER(V39),V39&gt;=0),V39,"")</x:f>
      </x:c>
    </x:row>
    <x:row r="40" ht="24" customHeight="1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" t="str">
        <x:f>IF(A40="","",IF(COUNT(H40,I40)=2,IF(I40&gt;=H40,I40-H40,"PERIKSA"),IF(COUNTA(H40,I40)=2,"PERIKSA","")))</x:f>
      </x:c>
      <x:c r="U40" s="2" t="str">
        <x:f>IF(A40="","",IF(COUNT(L40,M40)=2,IF(M40&gt;=L40,M40-L40,"PERIKSA"),IF(COUNTA(L40,M40)=2,"PERIKSA","")))</x:f>
      </x:c>
      <x:c r="V40" s="2" t="str">
        <x:f>IF(A40="","",IF(COUNT(H40,P40)=2,IF(P40&gt;=H40,P40-H40,"PERIKSA"),IF(COUNTA(H40,P40)=2,"PERIKSA","")))</x:f>
      </x:c>
      <x:c r="W40" s="2" t="str">
        <x:f>IF(A40="","",IF(OR(COUNTA(H40:P40)&lt;&gt;COUNT(H40:P40),MIN(H40:P40)&lt;0,AND(ISNUMBER(I40),ISNUMBER(J40),J40&lt;I40),AND(ISNUMBER(K40),ISNUMBER(I40),ISNUMBER(J40),K40&gt;J40-I40),AND(ISNUMBER(M40),ISNUMBER(N40),N40&lt;M40),AND(ISNUMBER(O40),ISNUMBER(M40),ISNUMBER(N40),O40&gt;N40-M40),AND(ISNUMBER(P40),ISNUMBER(J40),P40&lt;J40),AND(ISNUMBER(P40),ISNUMBER(N40),P40&lt;N40),T40="PERIKSA",U40="PERIKSA",V40="PERIKSA"),"PERIKSA waktu","telaah catatan"))</x:f>
      </x:c>
      <x:c r="X40" s="2" t="str">
        <x:f>IF(AND(A40&lt;&gt;"",W40&lt;&gt;"PERIKSA waktu",ISNUMBER(K40),K40&gt;=0,ISNUMBER(I40),ISNUMBER(J40),J40&gt;=I40),K40,"")</x:f>
      </x:c>
      <x:c r="Y40" s="2" t="str">
        <x:f>IF(AND(A40&lt;&gt;"",W40&lt;&gt;"PERIKSA waktu",ISNUMBER(O40),O40&gt;=0,ISNUMBER(M40),ISNUMBER(N40),N40&gt;=M40),O40,"")</x:f>
      </x:c>
      <x:c r="Z40" s="2" t="str">
        <x:f>IF(AND(A40&lt;&gt;"",W40&lt;&gt;"PERIKSA waktu",ISNUMBER(T40),T40&gt;=0),T40,"")</x:f>
      </x:c>
      <x:c r="AA40" s="2" t="str">
        <x:f>IF(AND(A40&lt;&gt;"",W40&lt;&gt;"PERIKSA waktu",ISNUMBER(U40),U40&gt;=0),U40,"")</x:f>
      </x:c>
      <x:c r="AB40" s="2" t="str">
        <x:f>IF(AND(A40&lt;&gt;"",W40&lt;&gt;"PERIKSA waktu",ISNUMBER(V40),V40&gt;=0),V40,"")</x:f>
      </x:c>
    </x:row>
    <x:row r="41" ht="24" customHeight="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" t="str">
        <x:f>IF(A41="","",IF(COUNT(H41,I41)=2,IF(I41&gt;=H41,I41-H41,"PERIKSA"),IF(COUNTA(H41,I41)=2,"PERIKSA","")))</x:f>
      </x:c>
      <x:c r="U41" s="2" t="str">
        <x:f>IF(A41="","",IF(COUNT(L41,M41)=2,IF(M41&gt;=L41,M41-L41,"PERIKSA"),IF(COUNTA(L41,M41)=2,"PERIKSA","")))</x:f>
      </x:c>
      <x:c r="V41" s="2" t="str">
        <x:f>IF(A41="","",IF(COUNT(H41,P41)=2,IF(P41&gt;=H41,P41-H41,"PERIKSA"),IF(COUNTA(H41,P41)=2,"PERIKSA","")))</x:f>
      </x:c>
      <x:c r="W41" s="2" t="str">
        <x:f>IF(A41="","",IF(OR(COUNTA(H41:P41)&lt;&gt;COUNT(H41:P41),MIN(H41:P41)&lt;0,AND(ISNUMBER(I41),ISNUMBER(J41),J41&lt;I41),AND(ISNUMBER(K41),ISNUMBER(I41),ISNUMBER(J41),K41&gt;J41-I41),AND(ISNUMBER(M41),ISNUMBER(N41),N41&lt;M41),AND(ISNUMBER(O41),ISNUMBER(M41),ISNUMBER(N41),O41&gt;N41-M41),AND(ISNUMBER(P41),ISNUMBER(J41),P41&lt;J41),AND(ISNUMBER(P41),ISNUMBER(N41),P41&lt;N41),T41="PERIKSA",U41="PERIKSA",V41="PERIKSA"),"PERIKSA waktu","telaah catatan"))</x:f>
      </x:c>
      <x:c r="X41" s="2" t="str">
        <x:f>IF(AND(A41&lt;&gt;"",W41&lt;&gt;"PERIKSA waktu",ISNUMBER(K41),K41&gt;=0,ISNUMBER(I41),ISNUMBER(J41),J41&gt;=I41),K41,"")</x:f>
      </x:c>
      <x:c r="Y41" s="2" t="str">
        <x:f>IF(AND(A41&lt;&gt;"",W41&lt;&gt;"PERIKSA waktu",ISNUMBER(O41),O41&gt;=0,ISNUMBER(M41),ISNUMBER(N41),N41&gt;=M41),O41,"")</x:f>
      </x:c>
      <x:c r="Z41" s="2" t="str">
        <x:f>IF(AND(A41&lt;&gt;"",W41&lt;&gt;"PERIKSA waktu",ISNUMBER(T41),T41&gt;=0),T41,"")</x:f>
      </x:c>
      <x:c r="AA41" s="2" t="str">
        <x:f>IF(AND(A41&lt;&gt;"",W41&lt;&gt;"PERIKSA waktu",ISNUMBER(U41),U41&gt;=0),U41,"")</x:f>
      </x:c>
      <x:c r="AB41" s="2" t="str">
        <x:f>IF(AND(A41&lt;&gt;"",W41&lt;&gt;"PERIKSA waktu",ISNUMBER(V41),V41&gt;=0),V41,"")</x:f>
      </x:c>
    </x:row>
    <x:row r="42" ht="24" customHeight="1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" t="str">
        <x:f>IF(A42="","",IF(COUNT(H42,I42)=2,IF(I42&gt;=H42,I42-H42,"PERIKSA"),IF(COUNTA(H42,I42)=2,"PERIKSA","")))</x:f>
      </x:c>
      <x:c r="U42" s="2" t="str">
        <x:f>IF(A42="","",IF(COUNT(L42,M42)=2,IF(M42&gt;=L42,M42-L42,"PERIKSA"),IF(COUNTA(L42,M42)=2,"PERIKSA","")))</x:f>
      </x:c>
      <x:c r="V42" s="2" t="str">
        <x:f>IF(A42="","",IF(COUNT(H42,P42)=2,IF(P42&gt;=H42,P42-H42,"PERIKSA"),IF(COUNTA(H42,P42)=2,"PERIKSA","")))</x:f>
      </x:c>
      <x:c r="W42" s="2" t="str">
        <x:f>IF(A42="","",IF(OR(COUNTA(H42:P42)&lt;&gt;COUNT(H42:P42),MIN(H42:P42)&lt;0,AND(ISNUMBER(I42),ISNUMBER(J42),J42&lt;I42),AND(ISNUMBER(K42),ISNUMBER(I42),ISNUMBER(J42),K42&gt;J42-I42),AND(ISNUMBER(M42),ISNUMBER(N42),N42&lt;M42),AND(ISNUMBER(O42),ISNUMBER(M42),ISNUMBER(N42),O42&gt;N42-M42),AND(ISNUMBER(P42),ISNUMBER(J42),P42&lt;J42),AND(ISNUMBER(P42),ISNUMBER(N42),P42&lt;N42),T42="PERIKSA",U42="PERIKSA",V42="PERIKSA"),"PERIKSA waktu","telaah catatan"))</x:f>
      </x:c>
      <x:c r="X42" s="2" t="str">
        <x:f>IF(AND(A42&lt;&gt;"",W42&lt;&gt;"PERIKSA waktu",ISNUMBER(K42),K42&gt;=0,ISNUMBER(I42),ISNUMBER(J42),J42&gt;=I42),K42,"")</x:f>
      </x:c>
      <x:c r="Y42" s="2" t="str">
        <x:f>IF(AND(A42&lt;&gt;"",W42&lt;&gt;"PERIKSA waktu",ISNUMBER(O42),O42&gt;=0,ISNUMBER(M42),ISNUMBER(N42),N42&gt;=M42),O42,"")</x:f>
      </x:c>
      <x:c r="Z42" s="2" t="str">
        <x:f>IF(AND(A42&lt;&gt;"",W42&lt;&gt;"PERIKSA waktu",ISNUMBER(T42),T42&gt;=0),T42,"")</x:f>
      </x:c>
      <x:c r="AA42" s="2" t="str">
        <x:f>IF(AND(A42&lt;&gt;"",W42&lt;&gt;"PERIKSA waktu",ISNUMBER(U42),U42&gt;=0),U42,"")</x:f>
      </x:c>
      <x:c r="AB42" s="2" t="str">
        <x:f>IF(AND(A42&lt;&gt;"",W42&lt;&gt;"PERIKSA waktu",ISNUMBER(V42),V42&gt;=0),V42,"")</x:f>
      </x:c>
    </x:row>
    <x:row r="43" ht="24" customHeight="1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" t="str">
        <x:f>IF(A43="","",IF(COUNT(H43,I43)=2,IF(I43&gt;=H43,I43-H43,"PERIKSA"),IF(COUNTA(H43,I43)=2,"PERIKSA","")))</x:f>
      </x:c>
      <x:c r="U43" s="2" t="str">
        <x:f>IF(A43="","",IF(COUNT(L43,M43)=2,IF(M43&gt;=L43,M43-L43,"PERIKSA"),IF(COUNTA(L43,M43)=2,"PERIKSA","")))</x:f>
      </x:c>
      <x:c r="V43" s="2" t="str">
        <x:f>IF(A43="","",IF(COUNT(H43,P43)=2,IF(P43&gt;=H43,P43-H43,"PERIKSA"),IF(COUNTA(H43,P43)=2,"PERIKSA","")))</x:f>
      </x:c>
      <x:c r="W43" s="2" t="str">
        <x:f>IF(A43="","",IF(OR(COUNTA(H43:P43)&lt;&gt;COUNT(H43:P43),MIN(H43:P43)&lt;0,AND(ISNUMBER(I43),ISNUMBER(J43),J43&lt;I43),AND(ISNUMBER(K43),ISNUMBER(I43),ISNUMBER(J43),K43&gt;J43-I43),AND(ISNUMBER(M43),ISNUMBER(N43),N43&lt;M43),AND(ISNUMBER(O43),ISNUMBER(M43),ISNUMBER(N43),O43&gt;N43-M43),AND(ISNUMBER(P43),ISNUMBER(J43),P43&lt;J43),AND(ISNUMBER(P43),ISNUMBER(N43),P43&lt;N43),T43="PERIKSA",U43="PERIKSA",V43="PERIKSA"),"PERIKSA waktu","telaah catatan"))</x:f>
      </x:c>
      <x:c r="X43" s="2" t="str">
        <x:f>IF(AND(A43&lt;&gt;"",W43&lt;&gt;"PERIKSA waktu",ISNUMBER(K43),K43&gt;=0,ISNUMBER(I43),ISNUMBER(J43),J43&gt;=I43),K43,"")</x:f>
      </x:c>
      <x:c r="Y43" s="2" t="str">
        <x:f>IF(AND(A43&lt;&gt;"",W43&lt;&gt;"PERIKSA waktu",ISNUMBER(O43),O43&gt;=0,ISNUMBER(M43),ISNUMBER(N43),N43&gt;=M43),O43,"")</x:f>
      </x:c>
      <x:c r="Z43" s="2" t="str">
        <x:f>IF(AND(A43&lt;&gt;"",W43&lt;&gt;"PERIKSA waktu",ISNUMBER(T43),T43&gt;=0),T43,"")</x:f>
      </x:c>
      <x:c r="AA43" s="2" t="str">
        <x:f>IF(AND(A43&lt;&gt;"",W43&lt;&gt;"PERIKSA waktu",ISNUMBER(U43),U43&gt;=0),U43,"")</x:f>
      </x:c>
      <x:c r="AB43" s="2" t="str">
        <x:f>IF(AND(A43&lt;&gt;"",W43&lt;&gt;"PERIKSA waktu",ISNUMBER(V43),V43&gt;=0),V43,"")</x:f>
      </x:c>
    </x:row>
    <x:row r="44" ht="24" customHeight="1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" t="str">
        <x:f>IF(A44="","",IF(COUNT(H44,I44)=2,IF(I44&gt;=H44,I44-H44,"PERIKSA"),IF(COUNTA(H44,I44)=2,"PERIKSA","")))</x:f>
      </x:c>
      <x:c r="U44" s="2" t="str">
        <x:f>IF(A44="","",IF(COUNT(L44,M44)=2,IF(M44&gt;=L44,M44-L44,"PERIKSA"),IF(COUNTA(L44,M44)=2,"PERIKSA","")))</x:f>
      </x:c>
      <x:c r="V44" s="2" t="str">
        <x:f>IF(A44="","",IF(COUNT(H44,P44)=2,IF(P44&gt;=H44,P44-H44,"PERIKSA"),IF(COUNTA(H44,P44)=2,"PERIKSA","")))</x:f>
      </x:c>
      <x:c r="W44" s="2" t="str">
        <x:f>IF(A44="","",IF(OR(COUNTA(H44:P44)&lt;&gt;COUNT(H44:P44),MIN(H44:P44)&lt;0,AND(ISNUMBER(I44),ISNUMBER(J44),J44&lt;I44),AND(ISNUMBER(K44),ISNUMBER(I44),ISNUMBER(J44),K44&gt;J44-I44),AND(ISNUMBER(M44),ISNUMBER(N44),N44&lt;M44),AND(ISNUMBER(O44),ISNUMBER(M44),ISNUMBER(N44),O44&gt;N44-M44),AND(ISNUMBER(P44),ISNUMBER(J44),P44&lt;J44),AND(ISNUMBER(P44),ISNUMBER(N44),P44&lt;N44),T44="PERIKSA",U44="PERIKSA",V44="PERIKSA"),"PERIKSA waktu","telaah catatan"))</x:f>
      </x:c>
      <x:c r="X44" s="2" t="str">
        <x:f>IF(AND(A44&lt;&gt;"",W44&lt;&gt;"PERIKSA waktu",ISNUMBER(K44),K44&gt;=0,ISNUMBER(I44),ISNUMBER(J44),J44&gt;=I44),K44,"")</x:f>
      </x:c>
      <x:c r="Y44" s="2" t="str">
        <x:f>IF(AND(A44&lt;&gt;"",W44&lt;&gt;"PERIKSA waktu",ISNUMBER(O44),O44&gt;=0,ISNUMBER(M44),ISNUMBER(N44),N44&gt;=M44),O44,"")</x:f>
      </x:c>
      <x:c r="Z44" s="2" t="str">
        <x:f>IF(AND(A44&lt;&gt;"",W44&lt;&gt;"PERIKSA waktu",ISNUMBER(T44),T44&gt;=0),T44,"")</x:f>
      </x:c>
      <x:c r="AA44" s="2" t="str">
        <x:f>IF(AND(A44&lt;&gt;"",W44&lt;&gt;"PERIKSA waktu",ISNUMBER(U44),U44&gt;=0),U44,"")</x:f>
      </x:c>
      <x:c r="AB44" s="2" t="str">
        <x:f>IF(AND(A44&lt;&gt;"",W44&lt;&gt;"PERIKSA waktu",ISNUMBER(V44),V44&gt;=0),V44,"")</x:f>
      </x:c>
    </x:row>
    <x:row r="45" ht="24" customHeight="1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" t="str">
        <x:f>IF(A45="","",IF(COUNT(H45,I45)=2,IF(I45&gt;=H45,I45-H45,"PERIKSA"),IF(COUNTA(H45,I45)=2,"PERIKSA","")))</x:f>
      </x:c>
      <x:c r="U45" s="2" t="str">
        <x:f>IF(A45="","",IF(COUNT(L45,M45)=2,IF(M45&gt;=L45,M45-L45,"PERIKSA"),IF(COUNTA(L45,M45)=2,"PERIKSA","")))</x:f>
      </x:c>
      <x:c r="V45" s="2" t="str">
        <x:f>IF(A45="","",IF(COUNT(H45,P45)=2,IF(P45&gt;=H45,P45-H45,"PERIKSA"),IF(COUNTA(H45,P45)=2,"PERIKSA","")))</x:f>
      </x:c>
      <x:c r="W45" s="2" t="str">
        <x:f>IF(A45="","",IF(OR(COUNTA(H45:P45)&lt;&gt;COUNT(H45:P45),MIN(H45:P45)&lt;0,AND(ISNUMBER(I45),ISNUMBER(J45),J45&lt;I45),AND(ISNUMBER(K45),ISNUMBER(I45),ISNUMBER(J45),K45&gt;J45-I45),AND(ISNUMBER(M45),ISNUMBER(N45),N45&lt;M45),AND(ISNUMBER(O45),ISNUMBER(M45),ISNUMBER(N45),O45&gt;N45-M45),AND(ISNUMBER(P45),ISNUMBER(J45),P45&lt;J45),AND(ISNUMBER(P45),ISNUMBER(N45),P45&lt;N45),T45="PERIKSA",U45="PERIKSA",V45="PERIKSA"),"PERIKSA waktu","telaah catatan"))</x:f>
      </x:c>
      <x:c r="X45" s="2" t="str">
        <x:f>IF(AND(A45&lt;&gt;"",W45&lt;&gt;"PERIKSA waktu",ISNUMBER(K45),K45&gt;=0,ISNUMBER(I45),ISNUMBER(J45),J45&gt;=I45),K45,"")</x:f>
      </x:c>
      <x:c r="Y45" s="2" t="str">
        <x:f>IF(AND(A45&lt;&gt;"",W45&lt;&gt;"PERIKSA waktu",ISNUMBER(O45),O45&gt;=0,ISNUMBER(M45),ISNUMBER(N45),N45&gt;=M45),O45,"")</x:f>
      </x:c>
      <x:c r="Z45" s="2" t="str">
        <x:f>IF(AND(A45&lt;&gt;"",W45&lt;&gt;"PERIKSA waktu",ISNUMBER(T45),T45&gt;=0),T45,"")</x:f>
      </x:c>
      <x:c r="AA45" s="2" t="str">
        <x:f>IF(AND(A45&lt;&gt;"",W45&lt;&gt;"PERIKSA waktu",ISNUMBER(U45),U45&gt;=0),U45,"")</x:f>
      </x:c>
      <x:c r="AB45" s="2" t="str">
        <x:f>IF(AND(A45&lt;&gt;"",W45&lt;&gt;"PERIKSA waktu",ISNUMBER(V45),V45&gt;=0),V45,"")</x:f>
      </x:c>
    </x:row>
    <x:row r="46" ht="24" customHeight="1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" t="str">
        <x:f>IF(A46="","",IF(COUNT(H46,I46)=2,IF(I46&gt;=H46,I46-H46,"PERIKSA"),IF(COUNTA(H46,I46)=2,"PERIKSA","")))</x:f>
      </x:c>
      <x:c r="U46" s="2" t="str">
        <x:f>IF(A46="","",IF(COUNT(L46,M46)=2,IF(M46&gt;=L46,M46-L46,"PERIKSA"),IF(COUNTA(L46,M46)=2,"PERIKSA","")))</x:f>
      </x:c>
      <x:c r="V46" s="2" t="str">
        <x:f>IF(A46="","",IF(COUNT(H46,P46)=2,IF(P46&gt;=H46,P46-H46,"PERIKSA"),IF(COUNTA(H46,P46)=2,"PERIKSA","")))</x:f>
      </x:c>
      <x:c r="W46" s="2" t="str">
        <x:f>IF(A46="","",IF(OR(COUNTA(H46:P46)&lt;&gt;COUNT(H46:P46),MIN(H46:P46)&lt;0,AND(ISNUMBER(I46),ISNUMBER(J46),J46&lt;I46),AND(ISNUMBER(K46),ISNUMBER(I46),ISNUMBER(J46),K46&gt;J46-I46),AND(ISNUMBER(M46),ISNUMBER(N46),N46&lt;M46),AND(ISNUMBER(O46),ISNUMBER(M46),ISNUMBER(N46),O46&gt;N46-M46),AND(ISNUMBER(P46),ISNUMBER(J46),P46&lt;J46),AND(ISNUMBER(P46),ISNUMBER(N46),P46&lt;N46),T46="PERIKSA",U46="PERIKSA",V46="PERIKSA"),"PERIKSA waktu","telaah catatan"))</x:f>
      </x:c>
      <x:c r="X46" s="2" t="str">
        <x:f>IF(AND(A46&lt;&gt;"",W46&lt;&gt;"PERIKSA waktu",ISNUMBER(K46),K46&gt;=0,ISNUMBER(I46),ISNUMBER(J46),J46&gt;=I46),K46,"")</x:f>
      </x:c>
      <x:c r="Y46" s="2" t="str">
        <x:f>IF(AND(A46&lt;&gt;"",W46&lt;&gt;"PERIKSA waktu",ISNUMBER(O46),O46&gt;=0,ISNUMBER(M46),ISNUMBER(N46),N46&gt;=M46),O46,"")</x:f>
      </x:c>
      <x:c r="Z46" s="2" t="str">
        <x:f>IF(AND(A46&lt;&gt;"",W46&lt;&gt;"PERIKSA waktu",ISNUMBER(T46),T46&gt;=0),T46,"")</x:f>
      </x:c>
      <x:c r="AA46" s="2" t="str">
        <x:f>IF(AND(A46&lt;&gt;"",W46&lt;&gt;"PERIKSA waktu",ISNUMBER(U46),U46&gt;=0),U46,"")</x:f>
      </x:c>
      <x:c r="AB46" s="2" t="str">
        <x:f>IF(AND(A46&lt;&gt;"",W46&lt;&gt;"PERIKSA waktu",ISNUMBER(V46),V46&gt;=0),V46,"")</x:f>
      </x:c>
    </x:row>
    <x:row r="47" ht="24" customHeight="1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" t="str">
        <x:f>IF(A47="","",IF(COUNT(H47,I47)=2,IF(I47&gt;=H47,I47-H47,"PERIKSA"),IF(COUNTA(H47,I47)=2,"PERIKSA","")))</x:f>
      </x:c>
      <x:c r="U47" s="2" t="str">
        <x:f>IF(A47="","",IF(COUNT(L47,M47)=2,IF(M47&gt;=L47,M47-L47,"PERIKSA"),IF(COUNTA(L47,M47)=2,"PERIKSA","")))</x:f>
      </x:c>
      <x:c r="V47" s="2" t="str">
        <x:f>IF(A47="","",IF(COUNT(H47,P47)=2,IF(P47&gt;=H47,P47-H47,"PERIKSA"),IF(COUNTA(H47,P47)=2,"PERIKSA","")))</x:f>
      </x:c>
      <x:c r="W47" s="2" t="str">
        <x:f>IF(A47="","",IF(OR(COUNTA(H47:P47)&lt;&gt;COUNT(H47:P47),MIN(H47:P47)&lt;0,AND(ISNUMBER(I47),ISNUMBER(J47),J47&lt;I47),AND(ISNUMBER(K47),ISNUMBER(I47),ISNUMBER(J47),K47&gt;J47-I47),AND(ISNUMBER(M47),ISNUMBER(N47),N47&lt;M47),AND(ISNUMBER(O47),ISNUMBER(M47),ISNUMBER(N47),O47&gt;N47-M47),AND(ISNUMBER(P47),ISNUMBER(J47),P47&lt;J47),AND(ISNUMBER(P47),ISNUMBER(N47),P47&lt;N47),T47="PERIKSA",U47="PERIKSA",V47="PERIKSA"),"PERIKSA waktu","telaah catatan"))</x:f>
      </x:c>
      <x:c r="X47" s="2" t="str">
        <x:f>IF(AND(A47&lt;&gt;"",W47&lt;&gt;"PERIKSA waktu",ISNUMBER(K47),K47&gt;=0,ISNUMBER(I47),ISNUMBER(J47),J47&gt;=I47),K47,"")</x:f>
      </x:c>
      <x:c r="Y47" s="2" t="str">
        <x:f>IF(AND(A47&lt;&gt;"",W47&lt;&gt;"PERIKSA waktu",ISNUMBER(O47),O47&gt;=0,ISNUMBER(M47),ISNUMBER(N47),N47&gt;=M47),O47,"")</x:f>
      </x:c>
      <x:c r="Z47" s="2" t="str">
        <x:f>IF(AND(A47&lt;&gt;"",W47&lt;&gt;"PERIKSA waktu",ISNUMBER(T47),T47&gt;=0),T47,"")</x:f>
      </x:c>
      <x:c r="AA47" s="2" t="str">
        <x:f>IF(AND(A47&lt;&gt;"",W47&lt;&gt;"PERIKSA waktu",ISNUMBER(U47),U47&gt;=0),U47,"")</x:f>
      </x:c>
      <x:c r="AB47" s="2" t="str">
        <x:f>IF(AND(A47&lt;&gt;"",W47&lt;&gt;"PERIKSA waktu",ISNUMBER(V47),V47&gt;=0),V47,"")</x:f>
      </x:c>
    </x:row>
    <x:row r="48" ht="24" customHeight="1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" t="str">
        <x:f>IF(A48="","",IF(COUNT(H48,I48)=2,IF(I48&gt;=H48,I48-H48,"PERIKSA"),IF(COUNTA(H48,I48)=2,"PERIKSA","")))</x:f>
      </x:c>
      <x:c r="U48" s="2" t="str">
        <x:f>IF(A48="","",IF(COUNT(L48,M48)=2,IF(M48&gt;=L48,M48-L48,"PERIKSA"),IF(COUNTA(L48,M48)=2,"PERIKSA","")))</x:f>
      </x:c>
      <x:c r="V48" s="2" t="str">
        <x:f>IF(A48="","",IF(COUNT(H48,P48)=2,IF(P48&gt;=H48,P48-H48,"PERIKSA"),IF(COUNTA(H48,P48)=2,"PERIKSA","")))</x:f>
      </x:c>
      <x:c r="W48" s="2" t="str">
        <x:f>IF(A48="","",IF(OR(COUNTA(H48:P48)&lt;&gt;COUNT(H48:P48),MIN(H48:P48)&lt;0,AND(ISNUMBER(I48),ISNUMBER(J48),J48&lt;I48),AND(ISNUMBER(K48),ISNUMBER(I48),ISNUMBER(J48),K48&gt;J48-I48),AND(ISNUMBER(M48),ISNUMBER(N48),N48&lt;M48),AND(ISNUMBER(O48),ISNUMBER(M48),ISNUMBER(N48),O48&gt;N48-M48),AND(ISNUMBER(P48),ISNUMBER(J48),P48&lt;J48),AND(ISNUMBER(P48),ISNUMBER(N48),P48&lt;N48),T48="PERIKSA",U48="PERIKSA",V48="PERIKSA"),"PERIKSA waktu","telaah catatan"))</x:f>
      </x:c>
      <x:c r="X48" s="2" t="str">
        <x:f>IF(AND(A48&lt;&gt;"",W48&lt;&gt;"PERIKSA waktu",ISNUMBER(K48),K48&gt;=0,ISNUMBER(I48),ISNUMBER(J48),J48&gt;=I48),K48,"")</x:f>
      </x:c>
      <x:c r="Y48" s="2" t="str">
        <x:f>IF(AND(A48&lt;&gt;"",W48&lt;&gt;"PERIKSA waktu",ISNUMBER(O48),O48&gt;=0,ISNUMBER(M48),ISNUMBER(N48),N48&gt;=M48),O48,"")</x:f>
      </x:c>
      <x:c r="Z48" s="2" t="str">
        <x:f>IF(AND(A48&lt;&gt;"",W48&lt;&gt;"PERIKSA waktu",ISNUMBER(T48),T48&gt;=0),T48,"")</x:f>
      </x:c>
      <x:c r="AA48" s="2" t="str">
        <x:f>IF(AND(A48&lt;&gt;"",W48&lt;&gt;"PERIKSA waktu",ISNUMBER(U48),U48&gt;=0),U48,"")</x:f>
      </x:c>
      <x:c r="AB48" s="2" t="str">
        <x:f>IF(AND(A48&lt;&gt;"",W48&lt;&gt;"PERIKSA waktu",ISNUMBER(V48),V48&gt;=0),V48,"")</x:f>
      </x:c>
    </x:row>
    <x:row r="49" ht="24" customHeight="1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" t="str">
        <x:f>IF(A49="","",IF(COUNT(H49,I49)=2,IF(I49&gt;=H49,I49-H49,"PERIKSA"),IF(COUNTA(H49,I49)=2,"PERIKSA","")))</x:f>
      </x:c>
      <x:c r="U49" s="2" t="str">
        <x:f>IF(A49="","",IF(COUNT(L49,M49)=2,IF(M49&gt;=L49,M49-L49,"PERIKSA"),IF(COUNTA(L49,M49)=2,"PERIKSA","")))</x:f>
      </x:c>
      <x:c r="V49" s="2" t="str">
        <x:f>IF(A49="","",IF(COUNT(H49,P49)=2,IF(P49&gt;=H49,P49-H49,"PERIKSA"),IF(COUNTA(H49,P49)=2,"PERIKSA","")))</x:f>
      </x:c>
      <x:c r="W49" s="2" t="str">
        <x:f>IF(A49="","",IF(OR(COUNTA(H49:P49)&lt;&gt;COUNT(H49:P49),MIN(H49:P49)&lt;0,AND(ISNUMBER(I49),ISNUMBER(J49),J49&lt;I49),AND(ISNUMBER(K49),ISNUMBER(I49),ISNUMBER(J49),K49&gt;J49-I49),AND(ISNUMBER(M49),ISNUMBER(N49),N49&lt;M49),AND(ISNUMBER(O49),ISNUMBER(M49),ISNUMBER(N49),O49&gt;N49-M49),AND(ISNUMBER(P49),ISNUMBER(J49),P49&lt;J49),AND(ISNUMBER(P49),ISNUMBER(N49),P49&lt;N49),T49="PERIKSA",U49="PERIKSA",V49="PERIKSA"),"PERIKSA waktu","telaah catatan"))</x:f>
      </x:c>
      <x:c r="X49" s="2" t="str">
        <x:f>IF(AND(A49&lt;&gt;"",W49&lt;&gt;"PERIKSA waktu",ISNUMBER(K49),K49&gt;=0,ISNUMBER(I49),ISNUMBER(J49),J49&gt;=I49),K49,"")</x:f>
      </x:c>
      <x:c r="Y49" s="2" t="str">
        <x:f>IF(AND(A49&lt;&gt;"",W49&lt;&gt;"PERIKSA waktu",ISNUMBER(O49),O49&gt;=0,ISNUMBER(M49),ISNUMBER(N49),N49&gt;=M49),O49,"")</x:f>
      </x:c>
      <x:c r="Z49" s="2" t="str">
        <x:f>IF(AND(A49&lt;&gt;"",W49&lt;&gt;"PERIKSA waktu",ISNUMBER(T49),T49&gt;=0),T49,"")</x:f>
      </x:c>
      <x:c r="AA49" s="2" t="str">
        <x:f>IF(AND(A49&lt;&gt;"",W49&lt;&gt;"PERIKSA waktu",ISNUMBER(U49),U49&gt;=0),U49,"")</x:f>
      </x:c>
      <x:c r="AB49" s="2" t="str">
        <x:f>IF(AND(A49&lt;&gt;"",W49&lt;&gt;"PERIKSA waktu",ISNUMBER(V49),V49&gt;=0),V49,"")</x:f>
      </x:c>
    </x:row>
    <x:row r="50" ht="24" customHeight="1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" t="str">
        <x:f>IF(A50="","",IF(COUNT(H50,I50)=2,IF(I50&gt;=H50,I50-H50,"PERIKSA"),IF(COUNTA(H50,I50)=2,"PERIKSA","")))</x:f>
      </x:c>
      <x:c r="U50" s="2" t="str">
        <x:f>IF(A50="","",IF(COUNT(L50,M50)=2,IF(M50&gt;=L50,M50-L50,"PERIKSA"),IF(COUNTA(L50,M50)=2,"PERIKSA","")))</x:f>
      </x:c>
      <x:c r="V50" s="2" t="str">
        <x:f>IF(A50="","",IF(COUNT(H50,P50)=2,IF(P50&gt;=H50,P50-H50,"PERIKSA"),IF(COUNTA(H50,P50)=2,"PERIKSA","")))</x:f>
      </x:c>
      <x:c r="W50" s="2" t="str">
        <x:f>IF(A50="","",IF(OR(COUNTA(H50:P50)&lt;&gt;COUNT(H50:P50),MIN(H50:P50)&lt;0,AND(ISNUMBER(I50),ISNUMBER(J50),J50&lt;I50),AND(ISNUMBER(K50),ISNUMBER(I50),ISNUMBER(J50),K50&gt;J50-I50),AND(ISNUMBER(M50),ISNUMBER(N50),N50&lt;M50),AND(ISNUMBER(O50),ISNUMBER(M50),ISNUMBER(N50),O50&gt;N50-M50),AND(ISNUMBER(P50),ISNUMBER(J50),P50&lt;J50),AND(ISNUMBER(P50),ISNUMBER(N50),P50&lt;N50),T50="PERIKSA",U50="PERIKSA",V50="PERIKSA"),"PERIKSA waktu","telaah catatan"))</x:f>
      </x:c>
      <x:c r="X50" s="2" t="str">
        <x:f>IF(AND(A50&lt;&gt;"",W50&lt;&gt;"PERIKSA waktu",ISNUMBER(K50),K50&gt;=0,ISNUMBER(I50),ISNUMBER(J50),J50&gt;=I50),K50,"")</x:f>
      </x:c>
      <x:c r="Y50" s="2" t="str">
        <x:f>IF(AND(A50&lt;&gt;"",W50&lt;&gt;"PERIKSA waktu",ISNUMBER(O50),O50&gt;=0,ISNUMBER(M50),ISNUMBER(N50),N50&gt;=M50),O50,"")</x:f>
      </x:c>
      <x:c r="Z50" s="2" t="str">
        <x:f>IF(AND(A50&lt;&gt;"",W50&lt;&gt;"PERIKSA waktu",ISNUMBER(T50),T50&gt;=0),T50,"")</x:f>
      </x:c>
      <x:c r="AA50" s="2" t="str">
        <x:f>IF(AND(A50&lt;&gt;"",W50&lt;&gt;"PERIKSA waktu",ISNUMBER(U50),U50&gt;=0),U50,"")</x:f>
      </x:c>
      <x:c r="AB50" s="2" t="str">
        <x:f>IF(AND(A50&lt;&gt;"",W50&lt;&gt;"PERIKSA waktu",ISNUMBER(V50),V50&gt;=0),V50,"")</x:f>
      </x:c>
    </x:row>
    <x:row r="51" ht="24" customHeight="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" t="str">
        <x:f>IF(A51="","",IF(COUNT(H51,I51)=2,IF(I51&gt;=H51,I51-H51,"PERIKSA"),IF(COUNTA(H51,I51)=2,"PERIKSA","")))</x:f>
      </x:c>
      <x:c r="U51" s="2" t="str">
        <x:f>IF(A51="","",IF(COUNT(L51,M51)=2,IF(M51&gt;=L51,M51-L51,"PERIKSA"),IF(COUNTA(L51,M51)=2,"PERIKSA","")))</x:f>
      </x:c>
      <x:c r="V51" s="2" t="str">
        <x:f>IF(A51="","",IF(COUNT(H51,P51)=2,IF(P51&gt;=H51,P51-H51,"PERIKSA"),IF(COUNTA(H51,P51)=2,"PERIKSA","")))</x:f>
      </x:c>
      <x:c r="W51" s="2" t="str">
        <x:f>IF(A51="","",IF(OR(COUNTA(H51:P51)&lt;&gt;COUNT(H51:P51),MIN(H51:P51)&lt;0,AND(ISNUMBER(I51),ISNUMBER(J51),J51&lt;I51),AND(ISNUMBER(K51),ISNUMBER(I51),ISNUMBER(J51),K51&gt;J51-I51),AND(ISNUMBER(M51),ISNUMBER(N51),N51&lt;M51),AND(ISNUMBER(O51),ISNUMBER(M51),ISNUMBER(N51),O51&gt;N51-M51),AND(ISNUMBER(P51),ISNUMBER(J51),P51&lt;J51),AND(ISNUMBER(P51),ISNUMBER(N51),P51&lt;N51),T51="PERIKSA",U51="PERIKSA",V51="PERIKSA"),"PERIKSA waktu","telaah catatan"))</x:f>
      </x:c>
      <x:c r="X51" s="2" t="str">
        <x:f>IF(AND(A51&lt;&gt;"",W51&lt;&gt;"PERIKSA waktu",ISNUMBER(K51),K51&gt;=0,ISNUMBER(I51),ISNUMBER(J51),J51&gt;=I51),K51,"")</x:f>
      </x:c>
      <x:c r="Y51" s="2" t="str">
        <x:f>IF(AND(A51&lt;&gt;"",W51&lt;&gt;"PERIKSA waktu",ISNUMBER(O51),O51&gt;=0,ISNUMBER(M51),ISNUMBER(N51),N51&gt;=M51),O51,"")</x:f>
      </x:c>
      <x:c r="Z51" s="2" t="str">
        <x:f>IF(AND(A51&lt;&gt;"",W51&lt;&gt;"PERIKSA waktu",ISNUMBER(T51),T51&gt;=0),T51,"")</x:f>
      </x:c>
      <x:c r="AA51" s="2" t="str">
        <x:f>IF(AND(A51&lt;&gt;"",W51&lt;&gt;"PERIKSA waktu",ISNUMBER(U51),U51&gt;=0),U51,"")</x:f>
      </x:c>
      <x:c r="AB51" s="2" t="str">
        <x:f>IF(AND(A51&lt;&gt;"",W51&lt;&gt;"PERIKSA waktu",ISNUMBER(V51),V51&gt;=0),V51,"")</x:f>
      </x:c>
    </x:row>
    <x:row r="52" ht="24" customHeight="1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" t="str">
        <x:f>IF(A52="","",IF(COUNT(H52,I52)=2,IF(I52&gt;=H52,I52-H52,"PERIKSA"),IF(COUNTA(H52,I52)=2,"PERIKSA","")))</x:f>
      </x:c>
      <x:c r="U52" s="2" t="str">
        <x:f>IF(A52="","",IF(COUNT(L52,M52)=2,IF(M52&gt;=L52,M52-L52,"PERIKSA"),IF(COUNTA(L52,M52)=2,"PERIKSA","")))</x:f>
      </x:c>
      <x:c r="V52" s="2" t="str">
        <x:f>IF(A52="","",IF(COUNT(H52,P52)=2,IF(P52&gt;=H52,P52-H52,"PERIKSA"),IF(COUNTA(H52,P52)=2,"PERIKSA","")))</x:f>
      </x:c>
      <x:c r="W52" s="2" t="str">
        <x:f>IF(A52="","",IF(OR(COUNTA(H52:P52)&lt;&gt;COUNT(H52:P52),MIN(H52:P52)&lt;0,AND(ISNUMBER(I52),ISNUMBER(J52),J52&lt;I52),AND(ISNUMBER(K52),ISNUMBER(I52),ISNUMBER(J52),K52&gt;J52-I52),AND(ISNUMBER(M52),ISNUMBER(N52),N52&lt;M52),AND(ISNUMBER(O52),ISNUMBER(M52),ISNUMBER(N52),O52&gt;N52-M52),AND(ISNUMBER(P52),ISNUMBER(J52),P52&lt;J52),AND(ISNUMBER(P52),ISNUMBER(N52),P52&lt;N52),T52="PERIKSA",U52="PERIKSA",V52="PERIKSA"),"PERIKSA waktu","telaah catatan"))</x:f>
      </x:c>
      <x:c r="X52" s="2" t="str">
        <x:f>IF(AND(A52&lt;&gt;"",W52&lt;&gt;"PERIKSA waktu",ISNUMBER(K52),K52&gt;=0,ISNUMBER(I52),ISNUMBER(J52),J52&gt;=I52),K52,"")</x:f>
      </x:c>
      <x:c r="Y52" s="2" t="str">
        <x:f>IF(AND(A52&lt;&gt;"",W52&lt;&gt;"PERIKSA waktu",ISNUMBER(O52),O52&gt;=0,ISNUMBER(M52),ISNUMBER(N52),N52&gt;=M52),O52,"")</x:f>
      </x:c>
      <x:c r="Z52" s="2" t="str">
        <x:f>IF(AND(A52&lt;&gt;"",W52&lt;&gt;"PERIKSA waktu",ISNUMBER(T52),T52&gt;=0),T52,"")</x:f>
      </x:c>
      <x:c r="AA52" s="2" t="str">
        <x:f>IF(AND(A52&lt;&gt;"",W52&lt;&gt;"PERIKSA waktu",ISNUMBER(U52),U52&gt;=0),U52,"")</x:f>
      </x:c>
      <x:c r="AB52" s="2" t="str">
        <x:f>IF(AND(A52&lt;&gt;"",W52&lt;&gt;"PERIKSA waktu",ISNUMBER(V52),V52&gt;=0),V52,"")</x:f>
      </x:c>
    </x:row>
    <x:row r="53" ht="24" customHeight="1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" t="str">
        <x:f>IF(A53="","",IF(COUNT(H53,I53)=2,IF(I53&gt;=H53,I53-H53,"PERIKSA"),IF(COUNTA(H53,I53)=2,"PERIKSA","")))</x:f>
      </x:c>
      <x:c r="U53" s="2" t="str">
        <x:f>IF(A53="","",IF(COUNT(L53,M53)=2,IF(M53&gt;=L53,M53-L53,"PERIKSA"),IF(COUNTA(L53,M53)=2,"PERIKSA","")))</x:f>
      </x:c>
      <x:c r="V53" s="2" t="str">
        <x:f>IF(A53="","",IF(COUNT(H53,P53)=2,IF(P53&gt;=H53,P53-H53,"PERIKSA"),IF(COUNTA(H53,P53)=2,"PERIKSA","")))</x:f>
      </x:c>
      <x:c r="W53" s="2" t="str">
        <x:f>IF(A53="","",IF(OR(COUNTA(H53:P53)&lt;&gt;COUNT(H53:P53),MIN(H53:P53)&lt;0,AND(ISNUMBER(I53),ISNUMBER(J53),J53&lt;I53),AND(ISNUMBER(K53),ISNUMBER(I53),ISNUMBER(J53),K53&gt;J53-I53),AND(ISNUMBER(M53),ISNUMBER(N53),N53&lt;M53),AND(ISNUMBER(O53),ISNUMBER(M53),ISNUMBER(N53),O53&gt;N53-M53),AND(ISNUMBER(P53),ISNUMBER(J53),P53&lt;J53),AND(ISNUMBER(P53),ISNUMBER(N53),P53&lt;N53),T53="PERIKSA",U53="PERIKSA",V53="PERIKSA"),"PERIKSA waktu","telaah catatan"))</x:f>
      </x:c>
      <x:c r="X53" s="2" t="str">
        <x:f>IF(AND(A53&lt;&gt;"",W53&lt;&gt;"PERIKSA waktu",ISNUMBER(K53),K53&gt;=0,ISNUMBER(I53),ISNUMBER(J53),J53&gt;=I53),K53,"")</x:f>
      </x:c>
      <x:c r="Y53" s="2" t="str">
        <x:f>IF(AND(A53&lt;&gt;"",W53&lt;&gt;"PERIKSA waktu",ISNUMBER(O53),O53&gt;=0,ISNUMBER(M53),ISNUMBER(N53),N53&gt;=M53),O53,"")</x:f>
      </x:c>
      <x:c r="Z53" s="2" t="str">
        <x:f>IF(AND(A53&lt;&gt;"",W53&lt;&gt;"PERIKSA waktu",ISNUMBER(T53),T53&gt;=0),T53,"")</x:f>
      </x:c>
      <x:c r="AA53" s="2" t="str">
        <x:f>IF(AND(A53&lt;&gt;"",W53&lt;&gt;"PERIKSA waktu",ISNUMBER(U53),U53&gt;=0),U53,"")</x:f>
      </x:c>
      <x:c r="AB53" s="2" t="str">
        <x:f>IF(AND(A53&lt;&gt;"",W53&lt;&gt;"PERIKSA waktu",ISNUMBER(V53),V53&gt;=0),V53,"")</x:f>
      </x:c>
    </x:row>
    <x:row r="54" ht="24" customHeight="1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" t="str">
        <x:f>IF(A54="","",IF(COUNT(H54,I54)=2,IF(I54&gt;=H54,I54-H54,"PERIKSA"),IF(COUNTA(H54,I54)=2,"PERIKSA","")))</x:f>
      </x:c>
      <x:c r="U54" s="2" t="str">
        <x:f>IF(A54="","",IF(COUNT(L54,M54)=2,IF(M54&gt;=L54,M54-L54,"PERIKSA"),IF(COUNTA(L54,M54)=2,"PERIKSA","")))</x:f>
      </x:c>
      <x:c r="V54" s="2" t="str">
        <x:f>IF(A54="","",IF(COUNT(H54,P54)=2,IF(P54&gt;=H54,P54-H54,"PERIKSA"),IF(COUNTA(H54,P54)=2,"PERIKSA","")))</x:f>
      </x:c>
      <x:c r="W54" s="2" t="str">
        <x:f>IF(A54="","",IF(OR(COUNTA(H54:P54)&lt;&gt;COUNT(H54:P54),MIN(H54:P54)&lt;0,AND(ISNUMBER(I54),ISNUMBER(J54),J54&lt;I54),AND(ISNUMBER(K54),ISNUMBER(I54),ISNUMBER(J54),K54&gt;J54-I54),AND(ISNUMBER(M54),ISNUMBER(N54),N54&lt;M54),AND(ISNUMBER(O54),ISNUMBER(M54),ISNUMBER(N54),O54&gt;N54-M54),AND(ISNUMBER(P54),ISNUMBER(J54),P54&lt;J54),AND(ISNUMBER(P54),ISNUMBER(N54),P54&lt;N54),T54="PERIKSA",U54="PERIKSA",V54="PERIKSA"),"PERIKSA waktu","telaah catatan"))</x:f>
      </x:c>
      <x:c r="X54" s="2" t="str">
        <x:f>IF(AND(A54&lt;&gt;"",W54&lt;&gt;"PERIKSA waktu",ISNUMBER(K54),K54&gt;=0,ISNUMBER(I54),ISNUMBER(J54),J54&gt;=I54),K54,"")</x:f>
      </x:c>
      <x:c r="Y54" s="2" t="str">
        <x:f>IF(AND(A54&lt;&gt;"",W54&lt;&gt;"PERIKSA waktu",ISNUMBER(O54),O54&gt;=0,ISNUMBER(M54),ISNUMBER(N54),N54&gt;=M54),O54,"")</x:f>
      </x:c>
      <x:c r="Z54" s="2" t="str">
        <x:f>IF(AND(A54&lt;&gt;"",W54&lt;&gt;"PERIKSA waktu",ISNUMBER(T54),T54&gt;=0),T54,"")</x:f>
      </x:c>
      <x:c r="AA54" s="2" t="str">
        <x:f>IF(AND(A54&lt;&gt;"",W54&lt;&gt;"PERIKSA waktu",ISNUMBER(U54),U54&gt;=0),U54,"")</x:f>
      </x:c>
      <x:c r="AB54" s="2" t="str">
        <x:f>IF(AND(A54&lt;&gt;"",W54&lt;&gt;"PERIKSA waktu",ISNUMBER(V54),V54&gt;=0),V54,"")</x:f>
      </x:c>
    </x:row>
    <x:row r="55" ht="24" customHeight="1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" t="str">
        <x:f>IF(A55="","",IF(COUNT(H55,I55)=2,IF(I55&gt;=H55,I55-H55,"PERIKSA"),IF(COUNTA(H55,I55)=2,"PERIKSA","")))</x:f>
      </x:c>
      <x:c r="U55" s="2" t="str">
        <x:f>IF(A55="","",IF(COUNT(L55,M55)=2,IF(M55&gt;=L55,M55-L55,"PERIKSA"),IF(COUNTA(L55,M55)=2,"PERIKSA","")))</x:f>
      </x:c>
      <x:c r="V55" s="2" t="str">
        <x:f>IF(A55="","",IF(COUNT(H55,P55)=2,IF(P55&gt;=H55,P55-H55,"PERIKSA"),IF(COUNTA(H55,P55)=2,"PERIKSA","")))</x:f>
      </x:c>
      <x:c r="W55" s="2" t="str">
        <x:f>IF(A55="","",IF(OR(COUNTA(H55:P55)&lt;&gt;COUNT(H55:P55),MIN(H55:P55)&lt;0,AND(ISNUMBER(I55),ISNUMBER(J55),J55&lt;I55),AND(ISNUMBER(K55),ISNUMBER(I55),ISNUMBER(J55),K55&gt;J55-I55),AND(ISNUMBER(M55),ISNUMBER(N55),N55&lt;M55),AND(ISNUMBER(O55),ISNUMBER(M55),ISNUMBER(N55),O55&gt;N55-M55),AND(ISNUMBER(P55),ISNUMBER(J55),P55&lt;J55),AND(ISNUMBER(P55),ISNUMBER(N55),P55&lt;N55),T55="PERIKSA",U55="PERIKSA",V55="PERIKSA"),"PERIKSA waktu","telaah catatan"))</x:f>
      </x:c>
      <x:c r="X55" s="2" t="str">
        <x:f>IF(AND(A55&lt;&gt;"",W55&lt;&gt;"PERIKSA waktu",ISNUMBER(K55),K55&gt;=0,ISNUMBER(I55),ISNUMBER(J55),J55&gt;=I55),K55,"")</x:f>
      </x:c>
      <x:c r="Y55" s="2" t="str">
        <x:f>IF(AND(A55&lt;&gt;"",W55&lt;&gt;"PERIKSA waktu",ISNUMBER(O55),O55&gt;=0,ISNUMBER(M55),ISNUMBER(N55),N55&gt;=M55),O55,"")</x:f>
      </x:c>
      <x:c r="Z55" s="2" t="str">
        <x:f>IF(AND(A55&lt;&gt;"",W55&lt;&gt;"PERIKSA waktu",ISNUMBER(T55),T55&gt;=0),T55,"")</x:f>
      </x:c>
      <x:c r="AA55" s="2" t="str">
        <x:f>IF(AND(A55&lt;&gt;"",W55&lt;&gt;"PERIKSA waktu",ISNUMBER(U55),U55&gt;=0),U55,"")</x:f>
      </x:c>
      <x:c r="AB55" s="2" t="str">
        <x:f>IF(AND(A55&lt;&gt;"",W55&lt;&gt;"PERIKSA waktu",ISNUMBER(V55),V55&gt;=0),V55,"")</x:f>
      </x:c>
    </x:row>
    <x:row r="56" ht="24" customHeight="1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" t="str">
        <x:f>IF(A56="","",IF(COUNT(H56,I56)=2,IF(I56&gt;=H56,I56-H56,"PERIKSA"),IF(COUNTA(H56,I56)=2,"PERIKSA","")))</x:f>
      </x:c>
      <x:c r="U56" s="2" t="str">
        <x:f>IF(A56="","",IF(COUNT(L56,M56)=2,IF(M56&gt;=L56,M56-L56,"PERIKSA"),IF(COUNTA(L56,M56)=2,"PERIKSA","")))</x:f>
      </x:c>
      <x:c r="V56" s="2" t="str">
        <x:f>IF(A56="","",IF(COUNT(H56,P56)=2,IF(P56&gt;=H56,P56-H56,"PERIKSA"),IF(COUNTA(H56,P56)=2,"PERIKSA","")))</x:f>
      </x:c>
      <x:c r="W56" s="2" t="str">
        <x:f>IF(A56="","",IF(OR(COUNTA(H56:P56)&lt;&gt;COUNT(H56:P56),MIN(H56:P56)&lt;0,AND(ISNUMBER(I56),ISNUMBER(J56),J56&lt;I56),AND(ISNUMBER(K56),ISNUMBER(I56),ISNUMBER(J56),K56&gt;J56-I56),AND(ISNUMBER(M56),ISNUMBER(N56),N56&lt;M56),AND(ISNUMBER(O56),ISNUMBER(M56),ISNUMBER(N56),O56&gt;N56-M56),AND(ISNUMBER(P56),ISNUMBER(J56),P56&lt;J56),AND(ISNUMBER(P56),ISNUMBER(N56),P56&lt;N56),T56="PERIKSA",U56="PERIKSA",V56="PERIKSA"),"PERIKSA waktu","telaah catatan"))</x:f>
      </x:c>
      <x:c r="X56" s="2" t="str">
        <x:f>IF(AND(A56&lt;&gt;"",W56&lt;&gt;"PERIKSA waktu",ISNUMBER(K56),K56&gt;=0,ISNUMBER(I56),ISNUMBER(J56),J56&gt;=I56),K56,"")</x:f>
      </x:c>
      <x:c r="Y56" s="2" t="str">
        <x:f>IF(AND(A56&lt;&gt;"",W56&lt;&gt;"PERIKSA waktu",ISNUMBER(O56),O56&gt;=0,ISNUMBER(M56),ISNUMBER(N56),N56&gt;=M56),O56,"")</x:f>
      </x:c>
      <x:c r="Z56" s="2" t="str">
        <x:f>IF(AND(A56&lt;&gt;"",W56&lt;&gt;"PERIKSA waktu",ISNUMBER(T56),T56&gt;=0),T56,"")</x:f>
      </x:c>
      <x:c r="AA56" s="2" t="str">
        <x:f>IF(AND(A56&lt;&gt;"",W56&lt;&gt;"PERIKSA waktu",ISNUMBER(U56),U56&gt;=0),U56,"")</x:f>
      </x:c>
      <x:c r="AB56" s="2" t="str">
        <x:f>IF(AND(A56&lt;&gt;"",W56&lt;&gt;"PERIKSA waktu",ISNUMBER(V56),V56&gt;=0),V56,"")</x:f>
      </x:c>
    </x:row>
    <x:row r="57" ht="24" customHeight="1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" t="str">
        <x:f>IF(A57="","",IF(COUNT(H57,I57)=2,IF(I57&gt;=H57,I57-H57,"PERIKSA"),IF(COUNTA(H57,I57)=2,"PERIKSA","")))</x:f>
      </x:c>
      <x:c r="U57" s="2" t="str">
        <x:f>IF(A57="","",IF(COUNT(L57,M57)=2,IF(M57&gt;=L57,M57-L57,"PERIKSA"),IF(COUNTA(L57,M57)=2,"PERIKSA","")))</x:f>
      </x:c>
      <x:c r="V57" s="2" t="str">
        <x:f>IF(A57="","",IF(COUNT(H57,P57)=2,IF(P57&gt;=H57,P57-H57,"PERIKSA"),IF(COUNTA(H57,P57)=2,"PERIKSA","")))</x:f>
      </x:c>
      <x:c r="W57" s="2" t="str">
        <x:f>IF(A57="","",IF(OR(COUNTA(H57:P57)&lt;&gt;COUNT(H57:P57),MIN(H57:P57)&lt;0,AND(ISNUMBER(I57),ISNUMBER(J57),J57&lt;I57),AND(ISNUMBER(K57),ISNUMBER(I57),ISNUMBER(J57),K57&gt;J57-I57),AND(ISNUMBER(M57),ISNUMBER(N57),N57&lt;M57),AND(ISNUMBER(O57),ISNUMBER(M57),ISNUMBER(N57),O57&gt;N57-M57),AND(ISNUMBER(P57),ISNUMBER(J57),P57&lt;J57),AND(ISNUMBER(P57),ISNUMBER(N57),P57&lt;N57),T57="PERIKSA",U57="PERIKSA",V57="PERIKSA"),"PERIKSA waktu","telaah catatan"))</x:f>
      </x:c>
      <x:c r="X57" s="2" t="str">
        <x:f>IF(AND(A57&lt;&gt;"",W57&lt;&gt;"PERIKSA waktu",ISNUMBER(K57),K57&gt;=0,ISNUMBER(I57),ISNUMBER(J57),J57&gt;=I57),K57,"")</x:f>
      </x:c>
      <x:c r="Y57" s="2" t="str">
        <x:f>IF(AND(A57&lt;&gt;"",W57&lt;&gt;"PERIKSA waktu",ISNUMBER(O57),O57&gt;=0,ISNUMBER(M57),ISNUMBER(N57),N57&gt;=M57),O57,"")</x:f>
      </x:c>
      <x:c r="Z57" s="2" t="str">
        <x:f>IF(AND(A57&lt;&gt;"",W57&lt;&gt;"PERIKSA waktu",ISNUMBER(T57),T57&gt;=0),T57,"")</x:f>
      </x:c>
      <x:c r="AA57" s="2" t="str">
        <x:f>IF(AND(A57&lt;&gt;"",W57&lt;&gt;"PERIKSA waktu",ISNUMBER(U57),U57&gt;=0),U57,"")</x:f>
      </x:c>
      <x:c r="AB57" s="2" t="str">
        <x:f>IF(AND(A57&lt;&gt;"",W57&lt;&gt;"PERIKSA waktu",ISNUMBER(V57),V57&gt;=0),V57,"")</x:f>
      </x:c>
    </x:row>
    <x:row r="58" ht="24" customHeight="1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" t="str">
        <x:f>IF(A58="","",IF(COUNT(H58,I58)=2,IF(I58&gt;=H58,I58-H58,"PERIKSA"),IF(COUNTA(H58,I58)=2,"PERIKSA","")))</x:f>
      </x:c>
      <x:c r="U58" s="2" t="str">
        <x:f>IF(A58="","",IF(COUNT(L58,M58)=2,IF(M58&gt;=L58,M58-L58,"PERIKSA"),IF(COUNTA(L58,M58)=2,"PERIKSA","")))</x:f>
      </x:c>
      <x:c r="V58" s="2" t="str">
        <x:f>IF(A58="","",IF(COUNT(H58,P58)=2,IF(P58&gt;=H58,P58-H58,"PERIKSA"),IF(COUNTA(H58,P58)=2,"PERIKSA","")))</x:f>
      </x:c>
      <x:c r="W58" s="2" t="str">
        <x:f>IF(A58="","",IF(OR(COUNTA(H58:P58)&lt;&gt;COUNT(H58:P58),MIN(H58:P58)&lt;0,AND(ISNUMBER(I58),ISNUMBER(J58),J58&lt;I58),AND(ISNUMBER(K58),ISNUMBER(I58),ISNUMBER(J58),K58&gt;J58-I58),AND(ISNUMBER(M58),ISNUMBER(N58),N58&lt;M58),AND(ISNUMBER(O58),ISNUMBER(M58),ISNUMBER(N58),O58&gt;N58-M58),AND(ISNUMBER(P58),ISNUMBER(J58),P58&lt;J58),AND(ISNUMBER(P58),ISNUMBER(N58),P58&lt;N58),T58="PERIKSA",U58="PERIKSA",V58="PERIKSA"),"PERIKSA waktu","telaah catatan"))</x:f>
      </x:c>
      <x:c r="X58" s="2" t="str">
        <x:f>IF(AND(A58&lt;&gt;"",W58&lt;&gt;"PERIKSA waktu",ISNUMBER(K58),K58&gt;=0,ISNUMBER(I58),ISNUMBER(J58),J58&gt;=I58),K58,"")</x:f>
      </x:c>
      <x:c r="Y58" s="2" t="str">
        <x:f>IF(AND(A58&lt;&gt;"",W58&lt;&gt;"PERIKSA waktu",ISNUMBER(O58),O58&gt;=0,ISNUMBER(M58),ISNUMBER(N58),N58&gt;=M58),O58,"")</x:f>
      </x:c>
      <x:c r="Z58" s="2" t="str">
        <x:f>IF(AND(A58&lt;&gt;"",W58&lt;&gt;"PERIKSA waktu",ISNUMBER(T58),T58&gt;=0),T58,"")</x:f>
      </x:c>
      <x:c r="AA58" s="2" t="str">
        <x:f>IF(AND(A58&lt;&gt;"",W58&lt;&gt;"PERIKSA waktu",ISNUMBER(U58),U58&gt;=0),U58,"")</x:f>
      </x:c>
      <x:c r="AB58" s="2" t="str">
        <x:f>IF(AND(A58&lt;&gt;"",W58&lt;&gt;"PERIKSA waktu",ISNUMBER(V58),V58&gt;=0),V58,"")</x:f>
      </x:c>
    </x:row>
    <x:row r="59" ht="24" customHeight="1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" t="str">
        <x:f>IF(A59="","",IF(COUNT(H59,I59)=2,IF(I59&gt;=H59,I59-H59,"PERIKSA"),IF(COUNTA(H59,I59)=2,"PERIKSA","")))</x:f>
      </x:c>
      <x:c r="U59" s="2" t="str">
        <x:f>IF(A59="","",IF(COUNT(L59,M59)=2,IF(M59&gt;=L59,M59-L59,"PERIKSA"),IF(COUNTA(L59,M59)=2,"PERIKSA","")))</x:f>
      </x:c>
      <x:c r="V59" s="2" t="str">
        <x:f>IF(A59="","",IF(COUNT(H59,P59)=2,IF(P59&gt;=H59,P59-H59,"PERIKSA"),IF(COUNTA(H59,P59)=2,"PERIKSA","")))</x:f>
      </x:c>
      <x:c r="W59" s="2" t="str">
        <x:f>IF(A59="","",IF(OR(COUNTA(H59:P59)&lt;&gt;COUNT(H59:P59),MIN(H59:P59)&lt;0,AND(ISNUMBER(I59),ISNUMBER(J59),J59&lt;I59),AND(ISNUMBER(K59),ISNUMBER(I59),ISNUMBER(J59),K59&gt;J59-I59),AND(ISNUMBER(M59),ISNUMBER(N59),N59&lt;M59),AND(ISNUMBER(O59),ISNUMBER(M59),ISNUMBER(N59),O59&gt;N59-M59),AND(ISNUMBER(P59),ISNUMBER(J59),P59&lt;J59),AND(ISNUMBER(P59),ISNUMBER(N59),P59&lt;N59),T59="PERIKSA",U59="PERIKSA",V59="PERIKSA"),"PERIKSA waktu","telaah catatan"))</x:f>
      </x:c>
      <x:c r="X59" s="2" t="str">
        <x:f>IF(AND(A59&lt;&gt;"",W59&lt;&gt;"PERIKSA waktu",ISNUMBER(K59),K59&gt;=0,ISNUMBER(I59),ISNUMBER(J59),J59&gt;=I59),K59,"")</x:f>
      </x:c>
      <x:c r="Y59" s="2" t="str">
        <x:f>IF(AND(A59&lt;&gt;"",W59&lt;&gt;"PERIKSA waktu",ISNUMBER(O59),O59&gt;=0,ISNUMBER(M59),ISNUMBER(N59),N59&gt;=M59),O59,"")</x:f>
      </x:c>
      <x:c r="Z59" s="2" t="str">
        <x:f>IF(AND(A59&lt;&gt;"",W59&lt;&gt;"PERIKSA waktu",ISNUMBER(T59),T59&gt;=0),T59,"")</x:f>
      </x:c>
      <x:c r="AA59" s="2" t="str">
        <x:f>IF(AND(A59&lt;&gt;"",W59&lt;&gt;"PERIKSA waktu",ISNUMBER(U59),U59&gt;=0),U59,"")</x:f>
      </x:c>
      <x:c r="AB59" s="2" t="str">
        <x:f>IF(AND(A59&lt;&gt;"",W59&lt;&gt;"PERIKSA waktu",ISNUMBER(V59),V59&gt;=0),V59,"")</x:f>
      </x:c>
    </x:row>
    <x:row r="60" ht="24" customHeight="1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" t="str">
        <x:f>IF(A60="","",IF(COUNT(H60,I60)=2,IF(I60&gt;=H60,I60-H60,"PERIKSA"),IF(COUNTA(H60,I60)=2,"PERIKSA","")))</x:f>
      </x:c>
      <x:c r="U60" s="2" t="str">
        <x:f>IF(A60="","",IF(COUNT(L60,M60)=2,IF(M60&gt;=L60,M60-L60,"PERIKSA"),IF(COUNTA(L60,M60)=2,"PERIKSA","")))</x:f>
      </x:c>
      <x:c r="V60" s="2" t="str">
        <x:f>IF(A60="","",IF(COUNT(H60,P60)=2,IF(P60&gt;=H60,P60-H60,"PERIKSA"),IF(COUNTA(H60,P60)=2,"PERIKSA","")))</x:f>
      </x:c>
      <x:c r="W60" s="2" t="str">
        <x:f>IF(A60="","",IF(OR(COUNTA(H60:P60)&lt;&gt;COUNT(H60:P60),MIN(H60:P60)&lt;0,AND(ISNUMBER(I60),ISNUMBER(J60),J60&lt;I60),AND(ISNUMBER(K60),ISNUMBER(I60),ISNUMBER(J60),K60&gt;J60-I60),AND(ISNUMBER(M60),ISNUMBER(N60),N60&lt;M60),AND(ISNUMBER(O60),ISNUMBER(M60),ISNUMBER(N60),O60&gt;N60-M60),AND(ISNUMBER(P60),ISNUMBER(J60),P60&lt;J60),AND(ISNUMBER(P60),ISNUMBER(N60),P60&lt;N60),T60="PERIKSA",U60="PERIKSA",V60="PERIKSA"),"PERIKSA waktu","telaah catatan"))</x:f>
      </x:c>
      <x:c r="X60" s="2" t="str">
        <x:f>IF(AND(A60&lt;&gt;"",W60&lt;&gt;"PERIKSA waktu",ISNUMBER(K60),K60&gt;=0,ISNUMBER(I60),ISNUMBER(J60),J60&gt;=I60),K60,"")</x:f>
      </x:c>
      <x:c r="Y60" s="2" t="str">
        <x:f>IF(AND(A60&lt;&gt;"",W60&lt;&gt;"PERIKSA waktu",ISNUMBER(O60),O60&gt;=0,ISNUMBER(M60),ISNUMBER(N60),N60&gt;=M60),O60,"")</x:f>
      </x:c>
      <x:c r="Z60" s="2" t="str">
        <x:f>IF(AND(A60&lt;&gt;"",W60&lt;&gt;"PERIKSA waktu",ISNUMBER(T60),T60&gt;=0),T60,"")</x:f>
      </x:c>
      <x:c r="AA60" s="2" t="str">
        <x:f>IF(AND(A60&lt;&gt;"",W60&lt;&gt;"PERIKSA waktu",ISNUMBER(U60),U60&gt;=0),U60,"")</x:f>
      </x:c>
      <x:c r="AB60" s="2" t="str">
        <x:f>IF(AND(A60&lt;&gt;"",W60&lt;&gt;"PERIKSA waktu",ISNUMBER(V60),V60&gt;=0),V60,"")</x:f>
      </x:c>
    </x:row>
    <x:row r="61" ht="24" customHeight="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" t="str">
        <x:f>IF(A61="","",IF(COUNT(H61,I61)=2,IF(I61&gt;=H61,I61-H61,"PERIKSA"),IF(COUNTA(H61,I61)=2,"PERIKSA","")))</x:f>
      </x:c>
      <x:c r="U61" s="2" t="str">
        <x:f>IF(A61="","",IF(COUNT(L61,M61)=2,IF(M61&gt;=L61,M61-L61,"PERIKSA"),IF(COUNTA(L61,M61)=2,"PERIKSA","")))</x:f>
      </x:c>
      <x:c r="V61" s="2" t="str">
        <x:f>IF(A61="","",IF(COUNT(H61,P61)=2,IF(P61&gt;=H61,P61-H61,"PERIKSA"),IF(COUNTA(H61,P61)=2,"PERIKSA","")))</x:f>
      </x:c>
      <x:c r="W61" s="2" t="str">
        <x:f>IF(A61="","",IF(OR(COUNTA(H61:P61)&lt;&gt;COUNT(H61:P61),MIN(H61:P61)&lt;0,AND(ISNUMBER(I61),ISNUMBER(J61),J61&lt;I61),AND(ISNUMBER(K61),ISNUMBER(I61),ISNUMBER(J61),K61&gt;J61-I61),AND(ISNUMBER(M61),ISNUMBER(N61),N61&lt;M61),AND(ISNUMBER(O61),ISNUMBER(M61),ISNUMBER(N61),O61&gt;N61-M61),AND(ISNUMBER(P61),ISNUMBER(J61),P61&lt;J61),AND(ISNUMBER(P61),ISNUMBER(N61),P61&lt;N61),T61="PERIKSA",U61="PERIKSA",V61="PERIKSA"),"PERIKSA waktu","telaah catatan"))</x:f>
      </x:c>
      <x:c r="X61" s="2" t="str">
        <x:f>IF(AND(A61&lt;&gt;"",W61&lt;&gt;"PERIKSA waktu",ISNUMBER(K61),K61&gt;=0,ISNUMBER(I61),ISNUMBER(J61),J61&gt;=I61),K61,"")</x:f>
      </x:c>
      <x:c r="Y61" s="2" t="str">
        <x:f>IF(AND(A61&lt;&gt;"",W61&lt;&gt;"PERIKSA waktu",ISNUMBER(O61),O61&gt;=0,ISNUMBER(M61),ISNUMBER(N61),N61&gt;=M61),O61,"")</x:f>
      </x:c>
      <x:c r="Z61" s="2" t="str">
        <x:f>IF(AND(A61&lt;&gt;"",W61&lt;&gt;"PERIKSA waktu",ISNUMBER(T61),T61&gt;=0),T61,"")</x:f>
      </x:c>
      <x:c r="AA61" s="2" t="str">
        <x:f>IF(AND(A61&lt;&gt;"",W61&lt;&gt;"PERIKSA waktu",ISNUMBER(U61),U61&gt;=0),U61,"")</x:f>
      </x:c>
      <x:c r="AB61" s="2" t="str">
        <x:f>IF(AND(A61&lt;&gt;"",W61&lt;&gt;"PERIKSA waktu",ISNUMBER(V61),V61&gt;=0),V61,"")</x:f>
      </x:c>
    </x:row>
    <x:row r="62" ht="24" customHeight="1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" t="str">
        <x:f>IF(A62="","",IF(COUNT(H62,I62)=2,IF(I62&gt;=H62,I62-H62,"PERIKSA"),IF(COUNTA(H62,I62)=2,"PERIKSA","")))</x:f>
      </x:c>
      <x:c r="U62" s="2" t="str">
        <x:f>IF(A62="","",IF(COUNT(L62,M62)=2,IF(M62&gt;=L62,M62-L62,"PERIKSA"),IF(COUNTA(L62,M62)=2,"PERIKSA","")))</x:f>
      </x:c>
      <x:c r="V62" s="2" t="str">
        <x:f>IF(A62="","",IF(COUNT(H62,P62)=2,IF(P62&gt;=H62,P62-H62,"PERIKSA"),IF(COUNTA(H62,P62)=2,"PERIKSA","")))</x:f>
      </x:c>
      <x:c r="W62" s="2" t="str">
        <x:f>IF(A62="","",IF(OR(COUNTA(H62:P62)&lt;&gt;COUNT(H62:P62),MIN(H62:P62)&lt;0,AND(ISNUMBER(I62),ISNUMBER(J62),J62&lt;I62),AND(ISNUMBER(K62),ISNUMBER(I62),ISNUMBER(J62),K62&gt;J62-I62),AND(ISNUMBER(M62),ISNUMBER(N62),N62&lt;M62),AND(ISNUMBER(O62),ISNUMBER(M62),ISNUMBER(N62),O62&gt;N62-M62),AND(ISNUMBER(P62),ISNUMBER(J62),P62&lt;J62),AND(ISNUMBER(P62),ISNUMBER(N62),P62&lt;N62),T62="PERIKSA",U62="PERIKSA",V62="PERIKSA"),"PERIKSA waktu","telaah catatan"))</x:f>
      </x:c>
      <x:c r="X62" s="2" t="str">
        <x:f>IF(AND(A62&lt;&gt;"",W62&lt;&gt;"PERIKSA waktu",ISNUMBER(K62),K62&gt;=0,ISNUMBER(I62),ISNUMBER(J62),J62&gt;=I62),K62,"")</x:f>
      </x:c>
      <x:c r="Y62" s="2" t="str">
        <x:f>IF(AND(A62&lt;&gt;"",W62&lt;&gt;"PERIKSA waktu",ISNUMBER(O62),O62&gt;=0,ISNUMBER(M62),ISNUMBER(N62),N62&gt;=M62),O62,"")</x:f>
      </x:c>
      <x:c r="Z62" s="2" t="str">
        <x:f>IF(AND(A62&lt;&gt;"",W62&lt;&gt;"PERIKSA waktu",ISNUMBER(T62),T62&gt;=0),T62,"")</x:f>
      </x:c>
      <x:c r="AA62" s="2" t="str">
        <x:f>IF(AND(A62&lt;&gt;"",W62&lt;&gt;"PERIKSA waktu",ISNUMBER(U62),U62&gt;=0),U62,"")</x:f>
      </x:c>
      <x:c r="AB62" s="2" t="str">
        <x:f>IF(AND(A62&lt;&gt;"",W62&lt;&gt;"PERIKSA waktu",ISNUMBER(V62),V62&gt;=0),V62,"")</x:f>
      </x:c>
    </x:row>
    <x:row r="63" ht="24" customHeight="1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" t="str">
        <x:f>IF(A63="","",IF(COUNT(H63,I63)=2,IF(I63&gt;=H63,I63-H63,"PERIKSA"),IF(COUNTA(H63,I63)=2,"PERIKSA","")))</x:f>
      </x:c>
      <x:c r="U63" s="2" t="str">
        <x:f>IF(A63="","",IF(COUNT(L63,M63)=2,IF(M63&gt;=L63,M63-L63,"PERIKSA"),IF(COUNTA(L63,M63)=2,"PERIKSA","")))</x:f>
      </x:c>
      <x:c r="V63" s="2" t="str">
        <x:f>IF(A63="","",IF(COUNT(H63,P63)=2,IF(P63&gt;=H63,P63-H63,"PERIKSA"),IF(COUNTA(H63,P63)=2,"PERIKSA","")))</x:f>
      </x:c>
      <x:c r="W63" s="2" t="str">
        <x:f>IF(A63="","",IF(OR(COUNTA(H63:P63)&lt;&gt;COUNT(H63:P63),MIN(H63:P63)&lt;0,AND(ISNUMBER(I63),ISNUMBER(J63),J63&lt;I63),AND(ISNUMBER(K63),ISNUMBER(I63),ISNUMBER(J63),K63&gt;J63-I63),AND(ISNUMBER(M63),ISNUMBER(N63),N63&lt;M63),AND(ISNUMBER(O63),ISNUMBER(M63),ISNUMBER(N63),O63&gt;N63-M63),AND(ISNUMBER(P63),ISNUMBER(J63),P63&lt;J63),AND(ISNUMBER(P63),ISNUMBER(N63),P63&lt;N63),T63="PERIKSA",U63="PERIKSA",V63="PERIKSA"),"PERIKSA waktu","telaah catatan"))</x:f>
      </x:c>
      <x:c r="X63" s="2" t="str">
        <x:f>IF(AND(A63&lt;&gt;"",W63&lt;&gt;"PERIKSA waktu",ISNUMBER(K63),K63&gt;=0,ISNUMBER(I63),ISNUMBER(J63),J63&gt;=I63),K63,"")</x:f>
      </x:c>
      <x:c r="Y63" s="2" t="str">
        <x:f>IF(AND(A63&lt;&gt;"",W63&lt;&gt;"PERIKSA waktu",ISNUMBER(O63),O63&gt;=0,ISNUMBER(M63),ISNUMBER(N63),N63&gt;=M63),O63,"")</x:f>
      </x:c>
      <x:c r="Z63" s="2" t="str">
        <x:f>IF(AND(A63&lt;&gt;"",W63&lt;&gt;"PERIKSA waktu",ISNUMBER(T63),T63&gt;=0),T63,"")</x:f>
      </x:c>
      <x:c r="AA63" s="2" t="str">
        <x:f>IF(AND(A63&lt;&gt;"",W63&lt;&gt;"PERIKSA waktu",ISNUMBER(U63),U63&gt;=0),U63,"")</x:f>
      </x:c>
      <x:c r="AB63" s="2" t="str">
        <x:f>IF(AND(A63&lt;&gt;"",W63&lt;&gt;"PERIKSA waktu",ISNUMBER(V63),V63&gt;=0),V63,"")</x:f>
      </x:c>
    </x:row>
    <x:row r="64" ht="24" customHeight="1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" t="str">
        <x:f>IF(A64="","",IF(COUNT(H64,I64)=2,IF(I64&gt;=H64,I64-H64,"PERIKSA"),IF(COUNTA(H64,I64)=2,"PERIKSA","")))</x:f>
      </x:c>
      <x:c r="U64" s="2" t="str">
        <x:f>IF(A64="","",IF(COUNT(L64,M64)=2,IF(M64&gt;=L64,M64-L64,"PERIKSA"),IF(COUNTA(L64,M64)=2,"PERIKSA","")))</x:f>
      </x:c>
      <x:c r="V64" s="2" t="str">
        <x:f>IF(A64="","",IF(COUNT(H64,P64)=2,IF(P64&gt;=H64,P64-H64,"PERIKSA"),IF(COUNTA(H64,P64)=2,"PERIKSA","")))</x:f>
      </x:c>
      <x:c r="W64" s="2" t="str">
        <x:f>IF(A64="","",IF(OR(COUNTA(H64:P64)&lt;&gt;COUNT(H64:P64),MIN(H64:P64)&lt;0,AND(ISNUMBER(I64),ISNUMBER(J64),J64&lt;I64),AND(ISNUMBER(K64),ISNUMBER(I64),ISNUMBER(J64),K64&gt;J64-I64),AND(ISNUMBER(M64),ISNUMBER(N64),N64&lt;M64),AND(ISNUMBER(O64),ISNUMBER(M64),ISNUMBER(N64),O64&gt;N64-M64),AND(ISNUMBER(P64),ISNUMBER(J64),P64&lt;J64),AND(ISNUMBER(P64),ISNUMBER(N64),P64&lt;N64),T64="PERIKSA",U64="PERIKSA",V64="PERIKSA"),"PERIKSA waktu","telaah catatan"))</x:f>
      </x:c>
      <x:c r="X64" s="2" t="str">
        <x:f>IF(AND(A64&lt;&gt;"",W64&lt;&gt;"PERIKSA waktu",ISNUMBER(K64),K64&gt;=0,ISNUMBER(I64),ISNUMBER(J64),J64&gt;=I64),K64,"")</x:f>
      </x:c>
      <x:c r="Y64" s="2" t="str">
        <x:f>IF(AND(A64&lt;&gt;"",W64&lt;&gt;"PERIKSA waktu",ISNUMBER(O64),O64&gt;=0,ISNUMBER(M64),ISNUMBER(N64),N64&gt;=M64),O64,"")</x:f>
      </x:c>
      <x:c r="Z64" s="2" t="str">
        <x:f>IF(AND(A64&lt;&gt;"",W64&lt;&gt;"PERIKSA waktu",ISNUMBER(T64),T64&gt;=0),T64,"")</x:f>
      </x:c>
      <x:c r="AA64" s="2" t="str">
        <x:f>IF(AND(A64&lt;&gt;"",W64&lt;&gt;"PERIKSA waktu",ISNUMBER(U64),U64&gt;=0),U64,"")</x:f>
      </x:c>
      <x:c r="AB64" s="2" t="str">
        <x:f>IF(AND(A64&lt;&gt;"",W64&lt;&gt;"PERIKSA waktu",ISNUMBER(V64),V64&gt;=0),V64,"")</x:f>
      </x:c>
    </x:row>
    <x:row r="65" ht="24" customHeight="1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" t="str">
        <x:f>IF(A65="","",IF(COUNT(H65,I65)=2,IF(I65&gt;=H65,I65-H65,"PERIKSA"),IF(COUNTA(H65,I65)=2,"PERIKSA","")))</x:f>
      </x:c>
      <x:c r="U65" s="2" t="str">
        <x:f>IF(A65="","",IF(COUNT(L65,M65)=2,IF(M65&gt;=L65,M65-L65,"PERIKSA"),IF(COUNTA(L65,M65)=2,"PERIKSA","")))</x:f>
      </x:c>
      <x:c r="V65" s="2" t="str">
        <x:f>IF(A65="","",IF(COUNT(H65,P65)=2,IF(P65&gt;=H65,P65-H65,"PERIKSA"),IF(COUNTA(H65,P65)=2,"PERIKSA","")))</x:f>
      </x:c>
      <x:c r="W65" s="2" t="str">
        <x:f>IF(A65="","",IF(OR(COUNTA(H65:P65)&lt;&gt;COUNT(H65:P65),MIN(H65:P65)&lt;0,AND(ISNUMBER(I65),ISNUMBER(J65),J65&lt;I65),AND(ISNUMBER(K65),ISNUMBER(I65),ISNUMBER(J65),K65&gt;J65-I65),AND(ISNUMBER(M65),ISNUMBER(N65),N65&lt;M65),AND(ISNUMBER(O65),ISNUMBER(M65),ISNUMBER(N65),O65&gt;N65-M65),AND(ISNUMBER(P65),ISNUMBER(J65),P65&lt;J65),AND(ISNUMBER(P65),ISNUMBER(N65),P65&lt;N65),T65="PERIKSA",U65="PERIKSA",V65="PERIKSA"),"PERIKSA waktu","telaah catatan"))</x:f>
      </x:c>
      <x:c r="X65" s="2" t="str">
        <x:f>IF(AND(A65&lt;&gt;"",W65&lt;&gt;"PERIKSA waktu",ISNUMBER(K65),K65&gt;=0,ISNUMBER(I65),ISNUMBER(J65),J65&gt;=I65),K65,"")</x:f>
      </x:c>
      <x:c r="Y65" s="2" t="str">
        <x:f>IF(AND(A65&lt;&gt;"",W65&lt;&gt;"PERIKSA waktu",ISNUMBER(O65),O65&gt;=0,ISNUMBER(M65),ISNUMBER(N65),N65&gt;=M65),O65,"")</x:f>
      </x:c>
      <x:c r="Z65" s="2" t="str">
        <x:f>IF(AND(A65&lt;&gt;"",W65&lt;&gt;"PERIKSA waktu",ISNUMBER(T65),T65&gt;=0),T65,"")</x:f>
      </x:c>
      <x:c r="AA65" s="2" t="str">
        <x:f>IF(AND(A65&lt;&gt;"",W65&lt;&gt;"PERIKSA waktu",ISNUMBER(U65),U65&gt;=0),U65,"")</x:f>
      </x:c>
      <x:c r="AB65" s="2" t="str">
        <x:f>IF(AND(A65&lt;&gt;"",W65&lt;&gt;"PERIKSA waktu",ISNUMBER(V65),V65&gt;=0),V65,"")</x:f>
      </x:c>
    </x:row>
    <x:row r="66" ht="24" customHeight="1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" t="str">
        <x:f>IF(A66="","",IF(COUNT(H66,I66)=2,IF(I66&gt;=H66,I66-H66,"PERIKSA"),IF(COUNTA(H66,I66)=2,"PERIKSA","")))</x:f>
      </x:c>
      <x:c r="U66" s="2" t="str">
        <x:f>IF(A66="","",IF(COUNT(L66,M66)=2,IF(M66&gt;=L66,M66-L66,"PERIKSA"),IF(COUNTA(L66,M66)=2,"PERIKSA","")))</x:f>
      </x:c>
      <x:c r="V66" s="2" t="str">
        <x:f>IF(A66="","",IF(COUNT(H66,P66)=2,IF(P66&gt;=H66,P66-H66,"PERIKSA"),IF(COUNTA(H66,P66)=2,"PERIKSA","")))</x:f>
      </x:c>
      <x:c r="W66" s="2" t="str">
        <x:f>IF(A66="","",IF(OR(COUNTA(H66:P66)&lt;&gt;COUNT(H66:P66),MIN(H66:P66)&lt;0,AND(ISNUMBER(I66),ISNUMBER(J66),J66&lt;I66),AND(ISNUMBER(K66),ISNUMBER(I66),ISNUMBER(J66),K66&gt;J66-I66),AND(ISNUMBER(M66),ISNUMBER(N66),N66&lt;M66),AND(ISNUMBER(O66),ISNUMBER(M66),ISNUMBER(N66),O66&gt;N66-M66),AND(ISNUMBER(P66),ISNUMBER(J66),P66&lt;J66),AND(ISNUMBER(P66),ISNUMBER(N66),P66&lt;N66),T66="PERIKSA",U66="PERIKSA",V66="PERIKSA"),"PERIKSA waktu","telaah catatan"))</x:f>
      </x:c>
      <x:c r="X66" s="2" t="str">
        <x:f>IF(AND(A66&lt;&gt;"",W66&lt;&gt;"PERIKSA waktu",ISNUMBER(K66),K66&gt;=0,ISNUMBER(I66),ISNUMBER(J66),J66&gt;=I66),K66,"")</x:f>
      </x:c>
      <x:c r="Y66" s="2" t="str">
        <x:f>IF(AND(A66&lt;&gt;"",W66&lt;&gt;"PERIKSA waktu",ISNUMBER(O66),O66&gt;=0,ISNUMBER(M66),ISNUMBER(N66),N66&gt;=M66),O66,"")</x:f>
      </x:c>
      <x:c r="Z66" s="2" t="str">
        <x:f>IF(AND(A66&lt;&gt;"",W66&lt;&gt;"PERIKSA waktu",ISNUMBER(T66),T66&gt;=0),T66,"")</x:f>
      </x:c>
      <x:c r="AA66" s="2" t="str">
        <x:f>IF(AND(A66&lt;&gt;"",W66&lt;&gt;"PERIKSA waktu",ISNUMBER(U66),U66&gt;=0),U66,"")</x:f>
      </x:c>
      <x:c r="AB66" s="2" t="str">
        <x:f>IF(AND(A66&lt;&gt;"",W66&lt;&gt;"PERIKSA waktu",ISNUMBER(V66),V66&gt;=0),V66,"")</x:f>
      </x:c>
    </x:row>
    <x:row r="67" ht="24" customHeight="1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" t="str">
        <x:f>IF(A67="","",IF(COUNT(H67,I67)=2,IF(I67&gt;=H67,I67-H67,"PERIKSA"),IF(COUNTA(H67,I67)=2,"PERIKSA","")))</x:f>
      </x:c>
      <x:c r="U67" s="2" t="str">
        <x:f>IF(A67="","",IF(COUNT(L67,M67)=2,IF(M67&gt;=L67,M67-L67,"PERIKSA"),IF(COUNTA(L67,M67)=2,"PERIKSA","")))</x:f>
      </x:c>
      <x:c r="V67" s="2" t="str">
        <x:f>IF(A67="","",IF(COUNT(H67,P67)=2,IF(P67&gt;=H67,P67-H67,"PERIKSA"),IF(COUNTA(H67,P67)=2,"PERIKSA","")))</x:f>
      </x:c>
      <x:c r="W67" s="2" t="str">
        <x:f>IF(A67="","",IF(OR(COUNTA(H67:P67)&lt;&gt;COUNT(H67:P67),MIN(H67:P67)&lt;0,AND(ISNUMBER(I67),ISNUMBER(J67),J67&lt;I67),AND(ISNUMBER(K67),ISNUMBER(I67),ISNUMBER(J67),K67&gt;J67-I67),AND(ISNUMBER(M67),ISNUMBER(N67),N67&lt;M67),AND(ISNUMBER(O67),ISNUMBER(M67),ISNUMBER(N67),O67&gt;N67-M67),AND(ISNUMBER(P67),ISNUMBER(J67),P67&lt;J67),AND(ISNUMBER(P67),ISNUMBER(N67),P67&lt;N67),T67="PERIKSA",U67="PERIKSA",V67="PERIKSA"),"PERIKSA waktu","telaah catatan"))</x:f>
      </x:c>
      <x:c r="X67" s="2" t="str">
        <x:f>IF(AND(A67&lt;&gt;"",W67&lt;&gt;"PERIKSA waktu",ISNUMBER(K67),K67&gt;=0,ISNUMBER(I67),ISNUMBER(J67),J67&gt;=I67),K67,"")</x:f>
      </x:c>
      <x:c r="Y67" s="2" t="str">
        <x:f>IF(AND(A67&lt;&gt;"",W67&lt;&gt;"PERIKSA waktu",ISNUMBER(O67),O67&gt;=0,ISNUMBER(M67),ISNUMBER(N67),N67&gt;=M67),O67,"")</x:f>
      </x:c>
      <x:c r="Z67" s="2" t="str">
        <x:f>IF(AND(A67&lt;&gt;"",W67&lt;&gt;"PERIKSA waktu",ISNUMBER(T67),T67&gt;=0),T67,"")</x:f>
      </x:c>
      <x:c r="AA67" s="2" t="str">
        <x:f>IF(AND(A67&lt;&gt;"",W67&lt;&gt;"PERIKSA waktu",ISNUMBER(U67),U67&gt;=0),U67,"")</x:f>
      </x:c>
      <x:c r="AB67" s="2" t="str">
        <x:f>IF(AND(A67&lt;&gt;"",W67&lt;&gt;"PERIKSA waktu",ISNUMBER(V67),V67&gt;=0),V67,"")</x:f>
      </x:c>
    </x:row>
    <x:row r="68" ht="24" customHeight="1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" t="str">
        <x:f>IF(A68="","",IF(COUNT(H68,I68)=2,IF(I68&gt;=H68,I68-H68,"PERIKSA"),IF(COUNTA(H68,I68)=2,"PERIKSA","")))</x:f>
      </x:c>
      <x:c r="U68" s="2" t="str">
        <x:f>IF(A68="","",IF(COUNT(L68,M68)=2,IF(M68&gt;=L68,M68-L68,"PERIKSA"),IF(COUNTA(L68,M68)=2,"PERIKSA","")))</x:f>
      </x:c>
      <x:c r="V68" s="2" t="str">
        <x:f>IF(A68="","",IF(COUNT(H68,P68)=2,IF(P68&gt;=H68,P68-H68,"PERIKSA"),IF(COUNTA(H68,P68)=2,"PERIKSA","")))</x:f>
      </x:c>
      <x:c r="W68" s="2" t="str">
        <x:f>IF(A68="","",IF(OR(COUNTA(H68:P68)&lt;&gt;COUNT(H68:P68),MIN(H68:P68)&lt;0,AND(ISNUMBER(I68),ISNUMBER(J68),J68&lt;I68),AND(ISNUMBER(K68),ISNUMBER(I68),ISNUMBER(J68),K68&gt;J68-I68),AND(ISNUMBER(M68),ISNUMBER(N68),N68&lt;M68),AND(ISNUMBER(O68),ISNUMBER(M68),ISNUMBER(N68),O68&gt;N68-M68),AND(ISNUMBER(P68),ISNUMBER(J68),P68&lt;J68),AND(ISNUMBER(P68),ISNUMBER(N68),P68&lt;N68),T68="PERIKSA",U68="PERIKSA",V68="PERIKSA"),"PERIKSA waktu","telaah catatan"))</x:f>
      </x:c>
      <x:c r="X68" s="2" t="str">
        <x:f>IF(AND(A68&lt;&gt;"",W68&lt;&gt;"PERIKSA waktu",ISNUMBER(K68),K68&gt;=0,ISNUMBER(I68),ISNUMBER(J68),J68&gt;=I68),K68,"")</x:f>
      </x:c>
      <x:c r="Y68" s="2" t="str">
        <x:f>IF(AND(A68&lt;&gt;"",W68&lt;&gt;"PERIKSA waktu",ISNUMBER(O68),O68&gt;=0,ISNUMBER(M68),ISNUMBER(N68),N68&gt;=M68),O68,"")</x:f>
      </x:c>
      <x:c r="Z68" s="2" t="str">
        <x:f>IF(AND(A68&lt;&gt;"",W68&lt;&gt;"PERIKSA waktu",ISNUMBER(T68),T68&gt;=0),T68,"")</x:f>
      </x:c>
      <x:c r="AA68" s="2" t="str">
        <x:f>IF(AND(A68&lt;&gt;"",W68&lt;&gt;"PERIKSA waktu",ISNUMBER(U68),U68&gt;=0),U68,"")</x:f>
      </x:c>
      <x:c r="AB68" s="2" t="str">
        <x:f>IF(AND(A68&lt;&gt;"",W68&lt;&gt;"PERIKSA waktu",ISNUMBER(V68),V68&gt;=0),V68,"")</x:f>
      </x:c>
    </x:row>
    <x:row r="69" ht="24" customHeight="1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" t="str">
        <x:f>IF(A69="","",IF(COUNT(H69,I69)=2,IF(I69&gt;=H69,I69-H69,"PERIKSA"),IF(COUNTA(H69,I69)=2,"PERIKSA","")))</x:f>
      </x:c>
      <x:c r="U69" s="2" t="str">
        <x:f>IF(A69="","",IF(COUNT(L69,M69)=2,IF(M69&gt;=L69,M69-L69,"PERIKSA"),IF(COUNTA(L69,M69)=2,"PERIKSA","")))</x:f>
      </x:c>
      <x:c r="V69" s="2" t="str">
        <x:f>IF(A69="","",IF(COUNT(H69,P69)=2,IF(P69&gt;=H69,P69-H69,"PERIKSA"),IF(COUNTA(H69,P69)=2,"PERIKSA","")))</x:f>
      </x:c>
      <x:c r="W69" s="2" t="str">
        <x:f>IF(A69="","",IF(OR(COUNTA(H69:P69)&lt;&gt;COUNT(H69:P69),MIN(H69:P69)&lt;0,AND(ISNUMBER(I69),ISNUMBER(J69),J69&lt;I69),AND(ISNUMBER(K69),ISNUMBER(I69),ISNUMBER(J69),K69&gt;J69-I69),AND(ISNUMBER(M69),ISNUMBER(N69),N69&lt;M69),AND(ISNUMBER(O69),ISNUMBER(M69),ISNUMBER(N69),O69&gt;N69-M69),AND(ISNUMBER(P69),ISNUMBER(J69),P69&lt;J69),AND(ISNUMBER(P69),ISNUMBER(N69),P69&lt;N69),T69="PERIKSA",U69="PERIKSA",V69="PERIKSA"),"PERIKSA waktu","telaah catatan"))</x:f>
      </x:c>
      <x:c r="X69" s="2" t="str">
        <x:f>IF(AND(A69&lt;&gt;"",W69&lt;&gt;"PERIKSA waktu",ISNUMBER(K69),K69&gt;=0,ISNUMBER(I69),ISNUMBER(J69),J69&gt;=I69),K69,"")</x:f>
      </x:c>
      <x:c r="Y69" s="2" t="str">
        <x:f>IF(AND(A69&lt;&gt;"",W69&lt;&gt;"PERIKSA waktu",ISNUMBER(O69),O69&gt;=0,ISNUMBER(M69),ISNUMBER(N69),N69&gt;=M69),O69,"")</x:f>
      </x:c>
      <x:c r="Z69" s="2" t="str">
        <x:f>IF(AND(A69&lt;&gt;"",W69&lt;&gt;"PERIKSA waktu",ISNUMBER(T69),T69&gt;=0),T69,"")</x:f>
      </x:c>
      <x:c r="AA69" s="2" t="str">
        <x:f>IF(AND(A69&lt;&gt;"",W69&lt;&gt;"PERIKSA waktu",ISNUMBER(U69),U69&gt;=0),U69,"")</x:f>
      </x:c>
      <x:c r="AB69" s="2" t="str">
        <x:f>IF(AND(A69&lt;&gt;"",W69&lt;&gt;"PERIKSA waktu",ISNUMBER(V69),V69&gt;=0),V69,"")</x:f>
      </x:c>
    </x:row>
    <x:row r="70" ht="24" customHeight="1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" t="str">
        <x:f>IF(A70="","",IF(COUNT(H70,I70)=2,IF(I70&gt;=H70,I70-H70,"PERIKSA"),IF(COUNTA(H70,I70)=2,"PERIKSA","")))</x:f>
      </x:c>
      <x:c r="U70" s="2" t="str">
        <x:f>IF(A70="","",IF(COUNT(L70,M70)=2,IF(M70&gt;=L70,M70-L70,"PERIKSA"),IF(COUNTA(L70,M70)=2,"PERIKSA","")))</x:f>
      </x:c>
      <x:c r="V70" s="2" t="str">
        <x:f>IF(A70="","",IF(COUNT(H70,P70)=2,IF(P70&gt;=H70,P70-H70,"PERIKSA"),IF(COUNTA(H70,P70)=2,"PERIKSA","")))</x:f>
      </x:c>
      <x:c r="W70" s="2" t="str">
        <x:f>IF(A70="","",IF(OR(COUNTA(H70:P70)&lt;&gt;COUNT(H70:P70),MIN(H70:P70)&lt;0,AND(ISNUMBER(I70),ISNUMBER(J70),J70&lt;I70),AND(ISNUMBER(K70),ISNUMBER(I70),ISNUMBER(J70),K70&gt;J70-I70),AND(ISNUMBER(M70),ISNUMBER(N70),N70&lt;M70),AND(ISNUMBER(O70),ISNUMBER(M70),ISNUMBER(N70),O70&gt;N70-M70),AND(ISNUMBER(P70),ISNUMBER(J70),P70&lt;J70),AND(ISNUMBER(P70),ISNUMBER(N70),P70&lt;N70),T70="PERIKSA",U70="PERIKSA",V70="PERIKSA"),"PERIKSA waktu","telaah catatan"))</x:f>
      </x:c>
      <x:c r="X70" s="2" t="str">
        <x:f>IF(AND(A70&lt;&gt;"",W70&lt;&gt;"PERIKSA waktu",ISNUMBER(K70),K70&gt;=0,ISNUMBER(I70),ISNUMBER(J70),J70&gt;=I70),K70,"")</x:f>
      </x:c>
      <x:c r="Y70" s="2" t="str">
        <x:f>IF(AND(A70&lt;&gt;"",W70&lt;&gt;"PERIKSA waktu",ISNUMBER(O70),O70&gt;=0,ISNUMBER(M70),ISNUMBER(N70),N70&gt;=M70),O70,"")</x:f>
      </x:c>
      <x:c r="Z70" s="2" t="str">
        <x:f>IF(AND(A70&lt;&gt;"",W70&lt;&gt;"PERIKSA waktu",ISNUMBER(T70),T70&gt;=0),T70,"")</x:f>
      </x:c>
      <x:c r="AA70" s="2" t="str">
        <x:f>IF(AND(A70&lt;&gt;"",W70&lt;&gt;"PERIKSA waktu",ISNUMBER(U70),U70&gt;=0),U70,"")</x:f>
      </x:c>
      <x:c r="AB70" s="2" t="str">
        <x:f>IF(AND(A70&lt;&gt;"",W70&lt;&gt;"PERIKSA waktu",ISNUMBER(V70),V70&gt;=0),V70,"")</x:f>
      </x:c>
    </x:row>
    <x:row r="71" ht="24" customHeight="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" t="str">
        <x:f>IF(A71="","",IF(COUNT(H71,I71)=2,IF(I71&gt;=H71,I71-H71,"PERIKSA"),IF(COUNTA(H71,I71)=2,"PERIKSA","")))</x:f>
      </x:c>
      <x:c r="U71" s="2" t="str">
        <x:f>IF(A71="","",IF(COUNT(L71,M71)=2,IF(M71&gt;=L71,M71-L71,"PERIKSA"),IF(COUNTA(L71,M71)=2,"PERIKSA","")))</x:f>
      </x:c>
      <x:c r="V71" s="2" t="str">
        <x:f>IF(A71="","",IF(COUNT(H71,P71)=2,IF(P71&gt;=H71,P71-H71,"PERIKSA"),IF(COUNTA(H71,P71)=2,"PERIKSA","")))</x:f>
      </x:c>
      <x:c r="W71" s="2" t="str">
        <x:f>IF(A71="","",IF(OR(COUNTA(H71:P71)&lt;&gt;COUNT(H71:P71),MIN(H71:P71)&lt;0,AND(ISNUMBER(I71),ISNUMBER(J71),J71&lt;I71),AND(ISNUMBER(K71),ISNUMBER(I71),ISNUMBER(J71),K71&gt;J71-I71),AND(ISNUMBER(M71),ISNUMBER(N71),N71&lt;M71),AND(ISNUMBER(O71),ISNUMBER(M71),ISNUMBER(N71),O71&gt;N71-M71),AND(ISNUMBER(P71),ISNUMBER(J71),P71&lt;J71),AND(ISNUMBER(P71),ISNUMBER(N71),P71&lt;N71),T71="PERIKSA",U71="PERIKSA",V71="PERIKSA"),"PERIKSA waktu","telaah catatan"))</x:f>
      </x:c>
      <x:c r="X71" s="2" t="str">
        <x:f>IF(AND(A71&lt;&gt;"",W71&lt;&gt;"PERIKSA waktu",ISNUMBER(K71),K71&gt;=0,ISNUMBER(I71),ISNUMBER(J71),J71&gt;=I71),K71,"")</x:f>
      </x:c>
      <x:c r="Y71" s="2" t="str">
        <x:f>IF(AND(A71&lt;&gt;"",W71&lt;&gt;"PERIKSA waktu",ISNUMBER(O71),O71&gt;=0,ISNUMBER(M71),ISNUMBER(N71),N71&gt;=M71),O71,"")</x:f>
      </x:c>
      <x:c r="Z71" s="2" t="str">
        <x:f>IF(AND(A71&lt;&gt;"",W71&lt;&gt;"PERIKSA waktu",ISNUMBER(T71),T71&gt;=0),T71,"")</x:f>
      </x:c>
      <x:c r="AA71" s="2" t="str">
        <x:f>IF(AND(A71&lt;&gt;"",W71&lt;&gt;"PERIKSA waktu",ISNUMBER(U71),U71&gt;=0),U71,"")</x:f>
      </x:c>
      <x:c r="AB71" s="2" t="str">
        <x:f>IF(AND(A71&lt;&gt;"",W71&lt;&gt;"PERIKSA waktu",ISNUMBER(V71),V71&gt;=0),V71,"")</x:f>
      </x:c>
    </x:row>
    <x:row r="72" ht="24" customHeight="1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" t="str">
        <x:f>IF(A72="","",IF(COUNT(H72,I72)=2,IF(I72&gt;=H72,I72-H72,"PERIKSA"),IF(COUNTA(H72,I72)=2,"PERIKSA","")))</x:f>
      </x:c>
      <x:c r="U72" s="2" t="str">
        <x:f>IF(A72="","",IF(COUNT(L72,M72)=2,IF(M72&gt;=L72,M72-L72,"PERIKSA"),IF(COUNTA(L72,M72)=2,"PERIKSA","")))</x:f>
      </x:c>
      <x:c r="V72" s="2" t="str">
        <x:f>IF(A72="","",IF(COUNT(H72,P72)=2,IF(P72&gt;=H72,P72-H72,"PERIKSA"),IF(COUNTA(H72,P72)=2,"PERIKSA","")))</x:f>
      </x:c>
      <x:c r="W72" s="2" t="str">
        <x:f>IF(A72="","",IF(OR(COUNTA(H72:P72)&lt;&gt;COUNT(H72:P72),MIN(H72:P72)&lt;0,AND(ISNUMBER(I72),ISNUMBER(J72),J72&lt;I72),AND(ISNUMBER(K72),ISNUMBER(I72),ISNUMBER(J72),K72&gt;J72-I72),AND(ISNUMBER(M72),ISNUMBER(N72),N72&lt;M72),AND(ISNUMBER(O72),ISNUMBER(M72),ISNUMBER(N72),O72&gt;N72-M72),AND(ISNUMBER(P72),ISNUMBER(J72),P72&lt;J72),AND(ISNUMBER(P72),ISNUMBER(N72),P72&lt;N72),T72="PERIKSA",U72="PERIKSA",V72="PERIKSA"),"PERIKSA waktu","telaah catatan"))</x:f>
      </x:c>
      <x:c r="X72" s="2" t="str">
        <x:f>IF(AND(A72&lt;&gt;"",W72&lt;&gt;"PERIKSA waktu",ISNUMBER(K72),K72&gt;=0,ISNUMBER(I72),ISNUMBER(J72),J72&gt;=I72),K72,"")</x:f>
      </x:c>
      <x:c r="Y72" s="2" t="str">
        <x:f>IF(AND(A72&lt;&gt;"",W72&lt;&gt;"PERIKSA waktu",ISNUMBER(O72),O72&gt;=0,ISNUMBER(M72),ISNUMBER(N72),N72&gt;=M72),O72,"")</x:f>
      </x:c>
      <x:c r="Z72" s="2" t="str">
        <x:f>IF(AND(A72&lt;&gt;"",W72&lt;&gt;"PERIKSA waktu",ISNUMBER(T72),T72&gt;=0),T72,"")</x:f>
      </x:c>
      <x:c r="AA72" s="2" t="str">
        <x:f>IF(AND(A72&lt;&gt;"",W72&lt;&gt;"PERIKSA waktu",ISNUMBER(U72),U72&gt;=0),U72,"")</x:f>
      </x:c>
      <x:c r="AB72" s="2" t="str">
        <x:f>IF(AND(A72&lt;&gt;"",W72&lt;&gt;"PERIKSA waktu",ISNUMBER(V72),V72&gt;=0),V72,"")</x:f>
      </x:c>
    </x:row>
    <x:row r="73" ht="24" customHeight="1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" t="str">
        <x:f>IF(A73="","",IF(COUNT(H73,I73)=2,IF(I73&gt;=H73,I73-H73,"PERIKSA"),IF(COUNTA(H73,I73)=2,"PERIKSA","")))</x:f>
      </x:c>
      <x:c r="U73" s="2" t="str">
        <x:f>IF(A73="","",IF(COUNT(L73,M73)=2,IF(M73&gt;=L73,M73-L73,"PERIKSA"),IF(COUNTA(L73,M73)=2,"PERIKSA","")))</x:f>
      </x:c>
      <x:c r="V73" s="2" t="str">
        <x:f>IF(A73="","",IF(COUNT(H73,P73)=2,IF(P73&gt;=H73,P73-H73,"PERIKSA"),IF(COUNTA(H73,P73)=2,"PERIKSA","")))</x:f>
      </x:c>
      <x:c r="W73" s="2" t="str">
        <x:f>IF(A73="","",IF(OR(COUNTA(H73:P73)&lt;&gt;COUNT(H73:P73),MIN(H73:P73)&lt;0,AND(ISNUMBER(I73),ISNUMBER(J73),J73&lt;I73),AND(ISNUMBER(K73),ISNUMBER(I73),ISNUMBER(J73),K73&gt;J73-I73),AND(ISNUMBER(M73),ISNUMBER(N73),N73&lt;M73),AND(ISNUMBER(O73),ISNUMBER(M73),ISNUMBER(N73),O73&gt;N73-M73),AND(ISNUMBER(P73),ISNUMBER(J73),P73&lt;J73),AND(ISNUMBER(P73),ISNUMBER(N73),P73&lt;N73),T73="PERIKSA",U73="PERIKSA",V73="PERIKSA"),"PERIKSA waktu","telaah catatan"))</x:f>
      </x:c>
      <x:c r="X73" s="2" t="str">
        <x:f>IF(AND(A73&lt;&gt;"",W73&lt;&gt;"PERIKSA waktu",ISNUMBER(K73),K73&gt;=0,ISNUMBER(I73),ISNUMBER(J73),J73&gt;=I73),K73,"")</x:f>
      </x:c>
      <x:c r="Y73" s="2" t="str">
        <x:f>IF(AND(A73&lt;&gt;"",W73&lt;&gt;"PERIKSA waktu",ISNUMBER(O73),O73&gt;=0,ISNUMBER(M73),ISNUMBER(N73),N73&gt;=M73),O73,"")</x:f>
      </x:c>
      <x:c r="Z73" s="2" t="str">
        <x:f>IF(AND(A73&lt;&gt;"",W73&lt;&gt;"PERIKSA waktu",ISNUMBER(T73),T73&gt;=0),T73,"")</x:f>
      </x:c>
      <x:c r="AA73" s="2" t="str">
        <x:f>IF(AND(A73&lt;&gt;"",W73&lt;&gt;"PERIKSA waktu",ISNUMBER(U73),U73&gt;=0),U73,"")</x:f>
      </x:c>
      <x:c r="AB73" s="2" t="str">
        <x:f>IF(AND(A73&lt;&gt;"",W73&lt;&gt;"PERIKSA waktu",ISNUMBER(V73),V73&gt;=0),V73,"")</x:f>
      </x:c>
    </x:row>
    <x:row r="74" ht="24" customHeight="1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" t="str">
        <x:f>IF(A74="","",IF(COUNT(H74,I74)=2,IF(I74&gt;=H74,I74-H74,"PERIKSA"),IF(COUNTA(H74,I74)=2,"PERIKSA","")))</x:f>
      </x:c>
      <x:c r="U74" s="2" t="str">
        <x:f>IF(A74="","",IF(COUNT(L74,M74)=2,IF(M74&gt;=L74,M74-L74,"PERIKSA"),IF(COUNTA(L74,M74)=2,"PERIKSA","")))</x:f>
      </x:c>
      <x:c r="V74" s="2" t="str">
        <x:f>IF(A74="","",IF(COUNT(H74,P74)=2,IF(P74&gt;=H74,P74-H74,"PERIKSA"),IF(COUNTA(H74,P74)=2,"PERIKSA","")))</x:f>
      </x:c>
      <x:c r="W74" s="2" t="str">
        <x:f>IF(A74="","",IF(OR(COUNTA(H74:P74)&lt;&gt;COUNT(H74:P74),MIN(H74:P74)&lt;0,AND(ISNUMBER(I74),ISNUMBER(J74),J74&lt;I74),AND(ISNUMBER(K74),ISNUMBER(I74),ISNUMBER(J74),K74&gt;J74-I74),AND(ISNUMBER(M74),ISNUMBER(N74),N74&lt;M74),AND(ISNUMBER(O74),ISNUMBER(M74),ISNUMBER(N74),O74&gt;N74-M74),AND(ISNUMBER(P74),ISNUMBER(J74),P74&lt;J74),AND(ISNUMBER(P74),ISNUMBER(N74),P74&lt;N74),T74="PERIKSA",U74="PERIKSA",V74="PERIKSA"),"PERIKSA waktu","telaah catatan"))</x:f>
      </x:c>
      <x:c r="X74" s="2" t="str">
        <x:f>IF(AND(A74&lt;&gt;"",W74&lt;&gt;"PERIKSA waktu",ISNUMBER(K74),K74&gt;=0,ISNUMBER(I74),ISNUMBER(J74),J74&gt;=I74),K74,"")</x:f>
      </x:c>
      <x:c r="Y74" s="2" t="str">
        <x:f>IF(AND(A74&lt;&gt;"",W74&lt;&gt;"PERIKSA waktu",ISNUMBER(O74),O74&gt;=0,ISNUMBER(M74),ISNUMBER(N74),N74&gt;=M74),O74,"")</x:f>
      </x:c>
      <x:c r="Z74" s="2" t="str">
        <x:f>IF(AND(A74&lt;&gt;"",W74&lt;&gt;"PERIKSA waktu",ISNUMBER(T74),T74&gt;=0),T74,"")</x:f>
      </x:c>
      <x:c r="AA74" s="2" t="str">
        <x:f>IF(AND(A74&lt;&gt;"",W74&lt;&gt;"PERIKSA waktu",ISNUMBER(U74),U74&gt;=0),U74,"")</x:f>
      </x:c>
      <x:c r="AB74" s="2" t="str">
        <x:f>IF(AND(A74&lt;&gt;"",W74&lt;&gt;"PERIKSA waktu",ISNUMBER(V74),V74&gt;=0),V74,"")</x:f>
      </x:c>
    </x:row>
    <x:row r="75" ht="24" customHeight="1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" t="str">
        <x:f>IF(A75="","",IF(COUNT(H75,I75)=2,IF(I75&gt;=H75,I75-H75,"PERIKSA"),IF(COUNTA(H75,I75)=2,"PERIKSA","")))</x:f>
      </x:c>
      <x:c r="U75" s="2" t="str">
        <x:f>IF(A75="","",IF(COUNT(L75,M75)=2,IF(M75&gt;=L75,M75-L75,"PERIKSA"),IF(COUNTA(L75,M75)=2,"PERIKSA","")))</x:f>
      </x:c>
      <x:c r="V75" s="2" t="str">
        <x:f>IF(A75="","",IF(COUNT(H75,P75)=2,IF(P75&gt;=H75,P75-H75,"PERIKSA"),IF(COUNTA(H75,P75)=2,"PERIKSA","")))</x:f>
      </x:c>
      <x:c r="W75" s="2" t="str">
        <x:f>IF(A75="","",IF(OR(COUNTA(H75:P75)&lt;&gt;COUNT(H75:P75),MIN(H75:P75)&lt;0,AND(ISNUMBER(I75),ISNUMBER(J75),J75&lt;I75),AND(ISNUMBER(K75),ISNUMBER(I75),ISNUMBER(J75),K75&gt;J75-I75),AND(ISNUMBER(M75),ISNUMBER(N75),N75&lt;M75),AND(ISNUMBER(O75),ISNUMBER(M75),ISNUMBER(N75),O75&gt;N75-M75),AND(ISNUMBER(P75),ISNUMBER(J75),P75&lt;J75),AND(ISNUMBER(P75),ISNUMBER(N75),P75&lt;N75),T75="PERIKSA",U75="PERIKSA",V75="PERIKSA"),"PERIKSA waktu","telaah catatan"))</x:f>
      </x:c>
      <x:c r="X75" s="2" t="str">
        <x:f>IF(AND(A75&lt;&gt;"",W75&lt;&gt;"PERIKSA waktu",ISNUMBER(K75),K75&gt;=0,ISNUMBER(I75),ISNUMBER(J75),J75&gt;=I75),K75,"")</x:f>
      </x:c>
      <x:c r="Y75" s="2" t="str">
        <x:f>IF(AND(A75&lt;&gt;"",W75&lt;&gt;"PERIKSA waktu",ISNUMBER(O75),O75&gt;=0,ISNUMBER(M75),ISNUMBER(N75),N75&gt;=M75),O75,"")</x:f>
      </x:c>
      <x:c r="Z75" s="2" t="str">
        <x:f>IF(AND(A75&lt;&gt;"",W75&lt;&gt;"PERIKSA waktu",ISNUMBER(T75),T75&gt;=0),T75,"")</x:f>
      </x:c>
      <x:c r="AA75" s="2" t="str">
        <x:f>IF(AND(A75&lt;&gt;"",W75&lt;&gt;"PERIKSA waktu",ISNUMBER(U75),U75&gt;=0),U75,"")</x:f>
      </x:c>
      <x:c r="AB75" s="2" t="str">
        <x:f>IF(AND(A75&lt;&gt;"",W75&lt;&gt;"PERIKSA waktu",ISNUMBER(V75),V75&gt;=0),V75,"")</x:f>
      </x:c>
    </x:row>
    <x:row r="76" ht="24" customHeight="1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" t="str">
        <x:f>IF(A76="","",IF(COUNT(H76,I76)=2,IF(I76&gt;=H76,I76-H76,"PERIKSA"),IF(COUNTA(H76,I76)=2,"PERIKSA","")))</x:f>
      </x:c>
      <x:c r="U76" s="2" t="str">
        <x:f>IF(A76="","",IF(COUNT(L76,M76)=2,IF(M76&gt;=L76,M76-L76,"PERIKSA"),IF(COUNTA(L76,M76)=2,"PERIKSA","")))</x:f>
      </x:c>
      <x:c r="V76" s="2" t="str">
        <x:f>IF(A76="","",IF(COUNT(H76,P76)=2,IF(P76&gt;=H76,P76-H76,"PERIKSA"),IF(COUNTA(H76,P76)=2,"PERIKSA","")))</x:f>
      </x:c>
      <x:c r="W76" s="2" t="str">
        <x:f>IF(A76="","",IF(OR(COUNTA(H76:P76)&lt;&gt;COUNT(H76:P76),MIN(H76:P76)&lt;0,AND(ISNUMBER(I76),ISNUMBER(J76),J76&lt;I76),AND(ISNUMBER(K76),ISNUMBER(I76),ISNUMBER(J76),K76&gt;J76-I76),AND(ISNUMBER(M76),ISNUMBER(N76),N76&lt;M76),AND(ISNUMBER(O76),ISNUMBER(M76),ISNUMBER(N76),O76&gt;N76-M76),AND(ISNUMBER(P76),ISNUMBER(J76),P76&lt;J76),AND(ISNUMBER(P76),ISNUMBER(N76),P76&lt;N76),T76="PERIKSA",U76="PERIKSA",V76="PERIKSA"),"PERIKSA waktu","telaah catatan"))</x:f>
      </x:c>
      <x:c r="X76" s="2" t="str">
        <x:f>IF(AND(A76&lt;&gt;"",W76&lt;&gt;"PERIKSA waktu",ISNUMBER(K76),K76&gt;=0,ISNUMBER(I76),ISNUMBER(J76),J76&gt;=I76),K76,"")</x:f>
      </x:c>
      <x:c r="Y76" s="2" t="str">
        <x:f>IF(AND(A76&lt;&gt;"",W76&lt;&gt;"PERIKSA waktu",ISNUMBER(O76),O76&gt;=0,ISNUMBER(M76),ISNUMBER(N76),N76&gt;=M76),O76,"")</x:f>
      </x:c>
      <x:c r="Z76" s="2" t="str">
        <x:f>IF(AND(A76&lt;&gt;"",W76&lt;&gt;"PERIKSA waktu",ISNUMBER(T76),T76&gt;=0),T76,"")</x:f>
      </x:c>
      <x:c r="AA76" s="2" t="str">
        <x:f>IF(AND(A76&lt;&gt;"",W76&lt;&gt;"PERIKSA waktu",ISNUMBER(U76),U76&gt;=0),U76,"")</x:f>
      </x:c>
      <x:c r="AB76" s="2" t="str">
        <x:f>IF(AND(A76&lt;&gt;"",W76&lt;&gt;"PERIKSA waktu",ISNUMBER(V76),V76&gt;=0),V76,"")</x:f>
      </x:c>
    </x:row>
    <x:row r="77" ht="24" customHeight="1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" t="str">
        <x:f>IF(A77="","",IF(COUNT(H77,I77)=2,IF(I77&gt;=H77,I77-H77,"PERIKSA"),IF(COUNTA(H77,I77)=2,"PERIKSA","")))</x:f>
      </x:c>
      <x:c r="U77" s="2" t="str">
        <x:f>IF(A77="","",IF(COUNT(L77,M77)=2,IF(M77&gt;=L77,M77-L77,"PERIKSA"),IF(COUNTA(L77,M77)=2,"PERIKSA","")))</x:f>
      </x:c>
      <x:c r="V77" s="2" t="str">
        <x:f>IF(A77="","",IF(COUNT(H77,P77)=2,IF(P77&gt;=H77,P77-H77,"PERIKSA"),IF(COUNTA(H77,P77)=2,"PERIKSA","")))</x:f>
      </x:c>
      <x:c r="W77" s="2" t="str">
        <x:f>IF(A77="","",IF(OR(COUNTA(H77:P77)&lt;&gt;COUNT(H77:P77),MIN(H77:P77)&lt;0,AND(ISNUMBER(I77),ISNUMBER(J77),J77&lt;I77),AND(ISNUMBER(K77),ISNUMBER(I77),ISNUMBER(J77),K77&gt;J77-I77),AND(ISNUMBER(M77),ISNUMBER(N77),N77&lt;M77),AND(ISNUMBER(O77),ISNUMBER(M77),ISNUMBER(N77),O77&gt;N77-M77),AND(ISNUMBER(P77),ISNUMBER(J77),P77&lt;J77),AND(ISNUMBER(P77),ISNUMBER(N77),P77&lt;N77),T77="PERIKSA",U77="PERIKSA",V77="PERIKSA"),"PERIKSA waktu","telaah catatan"))</x:f>
      </x:c>
      <x:c r="X77" s="2" t="str">
        <x:f>IF(AND(A77&lt;&gt;"",W77&lt;&gt;"PERIKSA waktu",ISNUMBER(K77),K77&gt;=0,ISNUMBER(I77),ISNUMBER(J77),J77&gt;=I77),K77,"")</x:f>
      </x:c>
      <x:c r="Y77" s="2" t="str">
        <x:f>IF(AND(A77&lt;&gt;"",W77&lt;&gt;"PERIKSA waktu",ISNUMBER(O77),O77&gt;=0,ISNUMBER(M77),ISNUMBER(N77),N77&gt;=M77),O77,"")</x:f>
      </x:c>
      <x:c r="Z77" s="2" t="str">
        <x:f>IF(AND(A77&lt;&gt;"",W77&lt;&gt;"PERIKSA waktu",ISNUMBER(T77),T77&gt;=0),T77,"")</x:f>
      </x:c>
      <x:c r="AA77" s="2" t="str">
        <x:f>IF(AND(A77&lt;&gt;"",W77&lt;&gt;"PERIKSA waktu",ISNUMBER(U77),U77&gt;=0),U77,"")</x:f>
      </x:c>
      <x:c r="AB77" s="2" t="str">
        <x:f>IF(AND(A77&lt;&gt;"",W77&lt;&gt;"PERIKSA waktu",ISNUMBER(V77),V77&gt;=0),V77,"")</x:f>
      </x:c>
    </x:row>
    <x:row r="78" ht="24" customHeight="1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" t="str">
        <x:f>IF(A78="","",IF(COUNT(H78,I78)=2,IF(I78&gt;=H78,I78-H78,"PERIKSA"),IF(COUNTA(H78,I78)=2,"PERIKSA","")))</x:f>
      </x:c>
      <x:c r="U78" s="2" t="str">
        <x:f>IF(A78="","",IF(COUNT(L78,M78)=2,IF(M78&gt;=L78,M78-L78,"PERIKSA"),IF(COUNTA(L78,M78)=2,"PERIKSA","")))</x:f>
      </x:c>
      <x:c r="V78" s="2" t="str">
        <x:f>IF(A78="","",IF(COUNT(H78,P78)=2,IF(P78&gt;=H78,P78-H78,"PERIKSA"),IF(COUNTA(H78,P78)=2,"PERIKSA","")))</x:f>
      </x:c>
      <x:c r="W78" s="2" t="str">
        <x:f>IF(A78="","",IF(OR(COUNTA(H78:P78)&lt;&gt;COUNT(H78:P78),MIN(H78:P78)&lt;0,AND(ISNUMBER(I78),ISNUMBER(J78),J78&lt;I78),AND(ISNUMBER(K78),ISNUMBER(I78),ISNUMBER(J78),K78&gt;J78-I78),AND(ISNUMBER(M78),ISNUMBER(N78),N78&lt;M78),AND(ISNUMBER(O78),ISNUMBER(M78),ISNUMBER(N78),O78&gt;N78-M78),AND(ISNUMBER(P78),ISNUMBER(J78),P78&lt;J78),AND(ISNUMBER(P78),ISNUMBER(N78),P78&lt;N78),T78="PERIKSA",U78="PERIKSA",V78="PERIKSA"),"PERIKSA waktu","telaah catatan"))</x:f>
      </x:c>
      <x:c r="X78" s="2" t="str">
        <x:f>IF(AND(A78&lt;&gt;"",W78&lt;&gt;"PERIKSA waktu",ISNUMBER(K78),K78&gt;=0,ISNUMBER(I78),ISNUMBER(J78),J78&gt;=I78),K78,"")</x:f>
      </x:c>
      <x:c r="Y78" s="2" t="str">
        <x:f>IF(AND(A78&lt;&gt;"",W78&lt;&gt;"PERIKSA waktu",ISNUMBER(O78),O78&gt;=0,ISNUMBER(M78),ISNUMBER(N78),N78&gt;=M78),O78,"")</x:f>
      </x:c>
      <x:c r="Z78" s="2" t="str">
        <x:f>IF(AND(A78&lt;&gt;"",W78&lt;&gt;"PERIKSA waktu",ISNUMBER(T78),T78&gt;=0),T78,"")</x:f>
      </x:c>
      <x:c r="AA78" s="2" t="str">
        <x:f>IF(AND(A78&lt;&gt;"",W78&lt;&gt;"PERIKSA waktu",ISNUMBER(U78),U78&gt;=0),U78,"")</x:f>
      </x:c>
      <x:c r="AB78" s="2" t="str">
        <x:f>IF(AND(A78&lt;&gt;"",W78&lt;&gt;"PERIKSA waktu",ISNUMBER(V78),V78&gt;=0),V78,"")</x:f>
      </x:c>
    </x:row>
    <x:row r="79" ht="24" customHeight="1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" t="str">
        <x:f>IF(A79="","",IF(COUNT(H79,I79)=2,IF(I79&gt;=H79,I79-H79,"PERIKSA"),IF(COUNTA(H79,I79)=2,"PERIKSA","")))</x:f>
      </x:c>
      <x:c r="U79" s="2" t="str">
        <x:f>IF(A79="","",IF(COUNT(L79,M79)=2,IF(M79&gt;=L79,M79-L79,"PERIKSA"),IF(COUNTA(L79,M79)=2,"PERIKSA","")))</x:f>
      </x:c>
      <x:c r="V79" s="2" t="str">
        <x:f>IF(A79="","",IF(COUNT(H79,P79)=2,IF(P79&gt;=H79,P79-H79,"PERIKSA"),IF(COUNTA(H79,P79)=2,"PERIKSA","")))</x:f>
      </x:c>
      <x:c r="W79" s="2" t="str">
        <x:f>IF(A79="","",IF(OR(COUNTA(H79:P79)&lt;&gt;COUNT(H79:P79),MIN(H79:P79)&lt;0,AND(ISNUMBER(I79),ISNUMBER(J79),J79&lt;I79),AND(ISNUMBER(K79),ISNUMBER(I79),ISNUMBER(J79),K79&gt;J79-I79),AND(ISNUMBER(M79),ISNUMBER(N79),N79&lt;M79),AND(ISNUMBER(O79),ISNUMBER(M79),ISNUMBER(N79),O79&gt;N79-M79),AND(ISNUMBER(P79),ISNUMBER(J79),P79&lt;J79),AND(ISNUMBER(P79),ISNUMBER(N79),P79&lt;N79),T79="PERIKSA",U79="PERIKSA",V79="PERIKSA"),"PERIKSA waktu","telaah catatan"))</x:f>
      </x:c>
      <x:c r="X79" s="2" t="str">
        <x:f>IF(AND(A79&lt;&gt;"",W79&lt;&gt;"PERIKSA waktu",ISNUMBER(K79),K79&gt;=0,ISNUMBER(I79),ISNUMBER(J79),J79&gt;=I79),K79,"")</x:f>
      </x:c>
      <x:c r="Y79" s="2" t="str">
        <x:f>IF(AND(A79&lt;&gt;"",W79&lt;&gt;"PERIKSA waktu",ISNUMBER(O79),O79&gt;=0,ISNUMBER(M79),ISNUMBER(N79),N79&gt;=M79),O79,"")</x:f>
      </x:c>
      <x:c r="Z79" s="2" t="str">
        <x:f>IF(AND(A79&lt;&gt;"",W79&lt;&gt;"PERIKSA waktu",ISNUMBER(T79),T79&gt;=0),T79,"")</x:f>
      </x:c>
      <x:c r="AA79" s="2" t="str">
        <x:f>IF(AND(A79&lt;&gt;"",W79&lt;&gt;"PERIKSA waktu",ISNUMBER(U79),U79&gt;=0),U79,"")</x:f>
      </x:c>
      <x:c r="AB79" s="2" t="str">
        <x:f>IF(AND(A79&lt;&gt;"",W79&lt;&gt;"PERIKSA waktu",ISNUMBER(V79),V79&gt;=0),V79,"")</x:f>
      </x:c>
    </x:row>
    <x:row r="80" ht="24" customHeight="1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" t="str">
        <x:f>IF(A80="","",IF(COUNT(H80,I80)=2,IF(I80&gt;=H80,I80-H80,"PERIKSA"),IF(COUNTA(H80,I80)=2,"PERIKSA","")))</x:f>
      </x:c>
      <x:c r="U80" s="2" t="str">
        <x:f>IF(A80="","",IF(COUNT(L80,M80)=2,IF(M80&gt;=L80,M80-L80,"PERIKSA"),IF(COUNTA(L80,M80)=2,"PERIKSA","")))</x:f>
      </x:c>
      <x:c r="V80" s="2" t="str">
        <x:f>IF(A80="","",IF(COUNT(H80,P80)=2,IF(P80&gt;=H80,P80-H80,"PERIKSA"),IF(COUNTA(H80,P80)=2,"PERIKSA","")))</x:f>
      </x:c>
      <x:c r="W80" s="2" t="str">
        <x:f>IF(A80="","",IF(OR(COUNTA(H80:P80)&lt;&gt;COUNT(H80:P80),MIN(H80:P80)&lt;0,AND(ISNUMBER(I80),ISNUMBER(J80),J80&lt;I80),AND(ISNUMBER(K80),ISNUMBER(I80),ISNUMBER(J80),K80&gt;J80-I80),AND(ISNUMBER(M80),ISNUMBER(N80),N80&lt;M80),AND(ISNUMBER(O80),ISNUMBER(M80),ISNUMBER(N80),O80&gt;N80-M80),AND(ISNUMBER(P80),ISNUMBER(J80),P80&lt;J80),AND(ISNUMBER(P80),ISNUMBER(N80),P80&lt;N80),T80="PERIKSA",U80="PERIKSA",V80="PERIKSA"),"PERIKSA waktu","telaah catatan"))</x:f>
      </x:c>
      <x:c r="X80" s="2" t="str">
        <x:f>IF(AND(A80&lt;&gt;"",W80&lt;&gt;"PERIKSA waktu",ISNUMBER(K80),K80&gt;=0,ISNUMBER(I80),ISNUMBER(J80),J80&gt;=I80),K80,"")</x:f>
      </x:c>
      <x:c r="Y80" s="2" t="str">
        <x:f>IF(AND(A80&lt;&gt;"",W80&lt;&gt;"PERIKSA waktu",ISNUMBER(O80),O80&gt;=0,ISNUMBER(M80),ISNUMBER(N80),N80&gt;=M80),O80,"")</x:f>
      </x:c>
      <x:c r="Z80" s="2" t="str">
        <x:f>IF(AND(A80&lt;&gt;"",W80&lt;&gt;"PERIKSA waktu",ISNUMBER(T80),T80&gt;=0),T80,"")</x:f>
      </x:c>
      <x:c r="AA80" s="2" t="str">
        <x:f>IF(AND(A80&lt;&gt;"",W80&lt;&gt;"PERIKSA waktu",ISNUMBER(U80),U80&gt;=0),U80,"")</x:f>
      </x:c>
      <x:c r="AB80" s="2" t="str">
        <x:f>IF(AND(A80&lt;&gt;"",W80&lt;&gt;"PERIKSA waktu",ISNUMBER(V80),V80&gt;=0),V80,"")</x:f>
      </x:c>
    </x:row>
    <x:row r="81" ht="24" customHeight="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" t="str">
        <x:f>IF(A81="","",IF(COUNT(H81,I81)=2,IF(I81&gt;=H81,I81-H81,"PERIKSA"),IF(COUNTA(H81,I81)=2,"PERIKSA","")))</x:f>
      </x:c>
      <x:c r="U81" s="2" t="str">
        <x:f>IF(A81="","",IF(COUNT(L81,M81)=2,IF(M81&gt;=L81,M81-L81,"PERIKSA"),IF(COUNTA(L81,M81)=2,"PERIKSA","")))</x:f>
      </x:c>
      <x:c r="V81" s="2" t="str">
        <x:f>IF(A81="","",IF(COUNT(H81,P81)=2,IF(P81&gt;=H81,P81-H81,"PERIKSA"),IF(COUNTA(H81,P81)=2,"PERIKSA","")))</x:f>
      </x:c>
      <x:c r="W81" s="2" t="str">
        <x:f>IF(A81="","",IF(OR(COUNTA(H81:P81)&lt;&gt;COUNT(H81:P81),MIN(H81:P81)&lt;0,AND(ISNUMBER(I81),ISNUMBER(J81),J81&lt;I81),AND(ISNUMBER(K81),ISNUMBER(I81),ISNUMBER(J81),K81&gt;J81-I81),AND(ISNUMBER(M81),ISNUMBER(N81),N81&lt;M81),AND(ISNUMBER(O81),ISNUMBER(M81),ISNUMBER(N81),O81&gt;N81-M81),AND(ISNUMBER(P81),ISNUMBER(J81),P81&lt;J81),AND(ISNUMBER(P81),ISNUMBER(N81),P81&lt;N81),T81="PERIKSA",U81="PERIKSA",V81="PERIKSA"),"PERIKSA waktu","telaah catatan"))</x:f>
      </x:c>
      <x:c r="X81" s="2" t="str">
        <x:f>IF(AND(A81&lt;&gt;"",W81&lt;&gt;"PERIKSA waktu",ISNUMBER(K81),K81&gt;=0,ISNUMBER(I81),ISNUMBER(J81),J81&gt;=I81),K81,"")</x:f>
      </x:c>
      <x:c r="Y81" s="2" t="str">
        <x:f>IF(AND(A81&lt;&gt;"",W81&lt;&gt;"PERIKSA waktu",ISNUMBER(O81),O81&gt;=0,ISNUMBER(M81),ISNUMBER(N81),N81&gt;=M81),O81,"")</x:f>
      </x:c>
      <x:c r="Z81" s="2" t="str">
        <x:f>IF(AND(A81&lt;&gt;"",W81&lt;&gt;"PERIKSA waktu",ISNUMBER(T81),T81&gt;=0),T81,"")</x:f>
      </x:c>
      <x:c r="AA81" s="2" t="str">
        <x:f>IF(AND(A81&lt;&gt;"",W81&lt;&gt;"PERIKSA waktu",ISNUMBER(U81),U81&gt;=0),U81,"")</x:f>
      </x:c>
      <x:c r="AB81" s="2" t="str">
        <x:f>IF(AND(A81&lt;&gt;"",W81&lt;&gt;"PERIKSA waktu",ISNUMBER(V81),V81&gt;=0),V81,"")</x:f>
      </x:c>
    </x:row>
    <x:row r="82" ht="24" customHeight="1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" t="str">
        <x:f>IF(A82="","",IF(COUNT(H82,I82)=2,IF(I82&gt;=H82,I82-H82,"PERIKSA"),IF(COUNTA(H82,I82)=2,"PERIKSA","")))</x:f>
      </x:c>
      <x:c r="U82" s="2" t="str">
        <x:f>IF(A82="","",IF(COUNT(L82,M82)=2,IF(M82&gt;=L82,M82-L82,"PERIKSA"),IF(COUNTA(L82,M82)=2,"PERIKSA","")))</x:f>
      </x:c>
      <x:c r="V82" s="2" t="str">
        <x:f>IF(A82="","",IF(COUNT(H82,P82)=2,IF(P82&gt;=H82,P82-H82,"PERIKSA"),IF(COUNTA(H82,P82)=2,"PERIKSA","")))</x:f>
      </x:c>
      <x:c r="W82" s="2" t="str">
        <x:f>IF(A82="","",IF(OR(COUNTA(H82:P82)&lt;&gt;COUNT(H82:P82),MIN(H82:P82)&lt;0,AND(ISNUMBER(I82),ISNUMBER(J82),J82&lt;I82),AND(ISNUMBER(K82),ISNUMBER(I82),ISNUMBER(J82),K82&gt;J82-I82),AND(ISNUMBER(M82),ISNUMBER(N82),N82&lt;M82),AND(ISNUMBER(O82),ISNUMBER(M82),ISNUMBER(N82),O82&gt;N82-M82),AND(ISNUMBER(P82),ISNUMBER(J82),P82&lt;J82),AND(ISNUMBER(P82),ISNUMBER(N82),P82&lt;N82),T82="PERIKSA",U82="PERIKSA",V82="PERIKSA"),"PERIKSA waktu","telaah catatan"))</x:f>
      </x:c>
      <x:c r="X82" s="2" t="str">
        <x:f>IF(AND(A82&lt;&gt;"",W82&lt;&gt;"PERIKSA waktu",ISNUMBER(K82),K82&gt;=0,ISNUMBER(I82),ISNUMBER(J82),J82&gt;=I82),K82,"")</x:f>
      </x:c>
      <x:c r="Y82" s="2" t="str">
        <x:f>IF(AND(A82&lt;&gt;"",W82&lt;&gt;"PERIKSA waktu",ISNUMBER(O82),O82&gt;=0,ISNUMBER(M82),ISNUMBER(N82),N82&gt;=M82),O82,"")</x:f>
      </x:c>
      <x:c r="Z82" s="2" t="str">
        <x:f>IF(AND(A82&lt;&gt;"",W82&lt;&gt;"PERIKSA waktu",ISNUMBER(T82),T82&gt;=0),T82,"")</x:f>
      </x:c>
      <x:c r="AA82" s="2" t="str">
        <x:f>IF(AND(A82&lt;&gt;"",W82&lt;&gt;"PERIKSA waktu",ISNUMBER(U82),U82&gt;=0),U82,"")</x:f>
      </x:c>
      <x:c r="AB82" s="2" t="str">
        <x:f>IF(AND(A82&lt;&gt;"",W82&lt;&gt;"PERIKSA waktu",ISNUMBER(V82),V82&gt;=0),V82,"")</x:f>
      </x:c>
    </x:row>
    <x:row r="83" ht="24" customHeight="1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" t="str">
        <x:f>IF(A83="","",IF(COUNT(H83,I83)=2,IF(I83&gt;=H83,I83-H83,"PERIKSA"),IF(COUNTA(H83,I83)=2,"PERIKSA","")))</x:f>
      </x:c>
      <x:c r="U83" s="2" t="str">
        <x:f>IF(A83="","",IF(COUNT(L83,M83)=2,IF(M83&gt;=L83,M83-L83,"PERIKSA"),IF(COUNTA(L83,M83)=2,"PERIKSA","")))</x:f>
      </x:c>
      <x:c r="V83" s="2" t="str">
        <x:f>IF(A83="","",IF(COUNT(H83,P83)=2,IF(P83&gt;=H83,P83-H83,"PERIKSA"),IF(COUNTA(H83,P83)=2,"PERIKSA","")))</x:f>
      </x:c>
      <x:c r="W83" s="2" t="str">
        <x:f>IF(A83="","",IF(OR(COUNTA(H83:P83)&lt;&gt;COUNT(H83:P83),MIN(H83:P83)&lt;0,AND(ISNUMBER(I83),ISNUMBER(J83),J83&lt;I83),AND(ISNUMBER(K83),ISNUMBER(I83),ISNUMBER(J83),K83&gt;J83-I83),AND(ISNUMBER(M83),ISNUMBER(N83),N83&lt;M83),AND(ISNUMBER(O83),ISNUMBER(M83),ISNUMBER(N83),O83&gt;N83-M83),AND(ISNUMBER(P83),ISNUMBER(J83),P83&lt;J83),AND(ISNUMBER(P83),ISNUMBER(N83),P83&lt;N83),T83="PERIKSA",U83="PERIKSA",V83="PERIKSA"),"PERIKSA waktu","telaah catatan"))</x:f>
      </x:c>
      <x:c r="X83" s="2" t="str">
        <x:f>IF(AND(A83&lt;&gt;"",W83&lt;&gt;"PERIKSA waktu",ISNUMBER(K83),K83&gt;=0,ISNUMBER(I83),ISNUMBER(J83),J83&gt;=I83),K83,"")</x:f>
      </x:c>
      <x:c r="Y83" s="2" t="str">
        <x:f>IF(AND(A83&lt;&gt;"",W83&lt;&gt;"PERIKSA waktu",ISNUMBER(O83),O83&gt;=0,ISNUMBER(M83),ISNUMBER(N83),N83&gt;=M83),O83,"")</x:f>
      </x:c>
      <x:c r="Z83" s="2" t="str">
        <x:f>IF(AND(A83&lt;&gt;"",W83&lt;&gt;"PERIKSA waktu",ISNUMBER(T83),T83&gt;=0),T83,"")</x:f>
      </x:c>
      <x:c r="AA83" s="2" t="str">
        <x:f>IF(AND(A83&lt;&gt;"",W83&lt;&gt;"PERIKSA waktu",ISNUMBER(U83),U83&gt;=0),U83,"")</x:f>
      </x:c>
      <x:c r="AB83" s="2" t="str">
        <x:f>IF(AND(A83&lt;&gt;"",W83&lt;&gt;"PERIKSA waktu",ISNUMBER(V83),V83&gt;=0),V83,"")</x:f>
      </x:c>
    </x:row>
    <x:row r="84" ht="24" customHeight="1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" t="str">
        <x:f>IF(A84="","",IF(COUNT(H84,I84)=2,IF(I84&gt;=H84,I84-H84,"PERIKSA"),IF(COUNTA(H84,I84)=2,"PERIKSA","")))</x:f>
      </x:c>
      <x:c r="U84" s="2" t="str">
        <x:f>IF(A84="","",IF(COUNT(L84,M84)=2,IF(M84&gt;=L84,M84-L84,"PERIKSA"),IF(COUNTA(L84,M84)=2,"PERIKSA","")))</x:f>
      </x:c>
      <x:c r="V84" s="2" t="str">
        <x:f>IF(A84="","",IF(COUNT(H84,P84)=2,IF(P84&gt;=H84,P84-H84,"PERIKSA"),IF(COUNTA(H84,P84)=2,"PERIKSA","")))</x:f>
      </x:c>
      <x:c r="W84" s="2" t="str">
        <x:f>IF(A84="","",IF(OR(COUNTA(H84:P84)&lt;&gt;COUNT(H84:P84),MIN(H84:P84)&lt;0,AND(ISNUMBER(I84),ISNUMBER(J84),J84&lt;I84),AND(ISNUMBER(K84),ISNUMBER(I84),ISNUMBER(J84),K84&gt;J84-I84),AND(ISNUMBER(M84),ISNUMBER(N84),N84&lt;M84),AND(ISNUMBER(O84),ISNUMBER(M84),ISNUMBER(N84),O84&gt;N84-M84),AND(ISNUMBER(P84),ISNUMBER(J84),P84&lt;J84),AND(ISNUMBER(P84),ISNUMBER(N84),P84&lt;N84),T84="PERIKSA",U84="PERIKSA",V84="PERIKSA"),"PERIKSA waktu","telaah catatan"))</x:f>
      </x:c>
      <x:c r="X84" s="2" t="str">
        <x:f>IF(AND(A84&lt;&gt;"",W84&lt;&gt;"PERIKSA waktu",ISNUMBER(K84),K84&gt;=0,ISNUMBER(I84),ISNUMBER(J84),J84&gt;=I84),K84,"")</x:f>
      </x:c>
      <x:c r="Y84" s="2" t="str">
        <x:f>IF(AND(A84&lt;&gt;"",W84&lt;&gt;"PERIKSA waktu",ISNUMBER(O84),O84&gt;=0,ISNUMBER(M84),ISNUMBER(N84),N84&gt;=M84),O84,"")</x:f>
      </x:c>
      <x:c r="Z84" s="2" t="str">
        <x:f>IF(AND(A84&lt;&gt;"",W84&lt;&gt;"PERIKSA waktu",ISNUMBER(T84),T84&gt;=0),T84,"")</x:f>
      </x:c>
      <x:c r="AA84" s="2" t="str">
        <x:f>IF(AND(A84&lt;&gt;"",W84&lt;&gt;"PERIKSA waktu",ISNUMBER(U84),U84&gt;=0),U84,"")</x:f>
      </x:c>
      <x:c r="AB84" s="2" t="str">
        <x:f>IF(AND(A84&lt;&gt;"",W84&lt;&gt;"PERIKSA waktu",ISNUMBER(V84),V84&gt;=0),V84,"")</x:f>
      </x:c>
    </x:row>
    <x:row r="85" ht="24" customHeight="1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" t="str">
        <x:f>IF(A85="","",IF(COUNT(H85,I85)=2,IF(I85&gt;=H85,I85-H85,"PERIKSA"),IF(COUNTA(H85,I85)=2,"PERIKSA","")))</x:f>
      </x:c>
      <x:c r="U85" s="2" t="str">
        <x:f>IF(A85="","",IF(COUNT(L85,M85)=2,IF(M85&gt;=L85,M85-L85,"PERIKSA"),IF(COUNTA(L85,M85)=2,"PERIKSA","")))</x:f>
      </x:c>
      <x:c r="V85" s="2" t="str">
        <x:f>IF(A85="","",IF(COUNT(H85,P85)=2,IF(P85&gt;=H85,P85-H85,"PERIKSA"),IF(COUNTA(H85,P85)=2,"PERIKSA","")))</x:f>
      </x:c>
      <x:c r="W85" s="2" t="str">
        <x:f>IF(A85="","",IF(OR(COUNTA(H85:P85)&lt;&gt;COUNT(H85:P85),MIN(H85:P85)&lt;0,AND(ISNUMBER(I85),ISNUMBER(J85),J85&lt;I85),AND(ISNUMBER(K85),ISNUMBER(I85),ISNUMBER(J85),K85&gt;J85-I85),AND(ISNUMBER(M85),ISNUMBER(N85),N85&lt;M85),AND(ISNUMBER(O85),ISNUMBER(M85),ISNUMBER(N85),O85&gt;N85-M85),AND(ISNUMBER(P85),ISNUMBER(J85),P85&lt;J85),AND(ISNUMBER(P85),ISNUMBER(N85),P85&lt;N85),T85="PERIKSA",U85="PERIKSA",V85="PERIKSA"),"PERIKSA waktu","telaah catatan"))</x:f>
      </x:c>
      <x:c r="X85" s="2" t="str">
        <x:f>IF(AND(A85&lt;&gt;"",W85&lt;&gt;"PERIKSA waktu",ISNUMBER(K85),K85&gt;=0,ISNUMBER(I85),ISNUMBER(J85),J85&gt;=I85),K85,"")</x:f>
      </x:c>
      <x:c r="Y85" s="2" t="str">
        <x:f>IF(AND(A85&lt;&gt;"",W85&lt;&gt;"PERIKSA waktu",ISNUMBER(O85),O85&gt;=0,ISNUMBER(M85),ISNUMBER(N85),N85&gt;=M85),O85,"")</x:f>
      </x:c>
      <x:c r="Z85" s="2" t="str">
        <x:f>IF(AND(A85&lt;&gt;"",W85&lt;&gt;"PERIKSA waktu",ISNUMBER(T85),T85&gt;=0),T85,"")</x:f>
      </x:c>
      <x:c r="AA85" s="2" t="str">
        <x:f>IF(AND(A85&lt;&gt;"",W85&lt;&gt;"PERIKSA waktu",ISNUMBER(U85),U85&gt;=0),U85,"")</x:f>
      </x:c>
      <x:c r="AB85" s="2" t="str">
        <x:f>IF(AND(A85&lt;&gt;"",W85&lt;&gt;"PERIKSA waktu",ISNUMBER(V85),V85&gt;=0),V85,"")</x:f>
      </x:c>
    </x:row>
    <x:row r="86" ht="24" customHeight="1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" t="str">
        <x:f>IF(A86="","",IF(COUNT(H86,I86)=2,IF(I86&gt;=H86,I86-H86,"PERIKSA"),IF(COUNTA(H86,I86)=2,"PERIKSA","")))</x:f>
      </x:c>
      <x:c r="U86" s="2" t="str">
        <x:f>IF(A86="","",IF(COUNT(L86,M86)=2,IF(M86&gt;=L86,M86-L86,"PERIKSA"),IF(COUNTA(L86,M86)=2,"PERIKSA","")))</x:f>
      </x:c>
      <x:c r="V86" s="2" t="str">
        <x:f>IF(A86="","",IF(COUNT(H86,P86)=2,IF(P86&gt;=H86,P86-H86,"PERIKSA"),IF(COUNTA(H86,P86)=2,"PERIKSA","")))</x:f>
      </x:c>
      <x:c r="W86" s="2" t="str">
        <x:f>IF(A86="","",IF(OR(COUNTA(H86:P86)&lt;&gt;COUNT(H86:P86),MIN(H86:P86)&lt;0,AND(ISNUMBER(I86),ISNUMBER(J86),J86&lt;I86),AND(ISNUMBER(K86),ISNUMBER(I86),ISNUMBER(J86),K86&gt;J86-I86),AND(ISNUMBER(M86),ISNUMBER(N86),N86&lt;M86),AND(ISNUMBER(O86),ISNUMBER(M86),ISNUMBER(N86),O86&gt;N86-M86),AND(ISNUMBER(P86),ISNUMBER(J86),P86&lt;J86),AND(ISNUMBER(P86),ISNUMBER(N86),P86&lt;N86),T86="PERIKSA",U86="PERIKSA",V86="PERIKSA"),"PERIKSA waktu","telaah catatan"))</x:f>
      </x:c>
      <x:c r="X86" s="2" t="str">
        <x:f>IF(AND(A86&lt;&gt;"",W86&lt;&gt;"PERIKSA waktu",ISNUMBER(K86),K86&gt;=0,ISNUMBER(I86),ISNUMBER(J86),J86&gt;=I86),K86,"")</x:f>
      </x:c>
      <x:c r="Y86" s="2" t="str">
        <x:f>IF(AND(A86&lt;&gt;"",W86&lt;&gt;"PERIKSA waktu",ISNUMBER(O86),O86&gt;=0,ISNUMBER(M86),ISNUMBER(N86),N86&gt;=M86),O86,"")</x:f>
      </x:c>
      <x:c r="Z86" s="2" t="str">
        <x:f>IF(AND(A86&lt;&gt;"",W86&lt;&gt;"PERIKSA waktu",ISNUMBER(T86),T86&gt;=0),T86,"")</x:f>
      </x:c>
      <x:c r="AA86" s="2" t="str">
        <x:f>IF(AND(A86&lt;&gt;"",W86&lt;&gt;"PERIKSA waktu",ISNUMBER(U86),U86&gt;=0),U86,"")</x:f>
      </x:c>
      <x:c r="AB86" s="2" t="str">
        <x:f>IF(AND(A86&lt;&gt;"",W86&lt;&gt;"PERIKSA waktu",ISNUMBER(V86),V86&gt;=0),V86,"")</x:f>
      </x:c>
    </x:row>
    <x:row r="87" ht="24" customHeight="1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" t="str">
        <x:f>IF(A87="","",IF(COUNT(H87,I87)=2,IF(I87&gt;=H87,I87-H87,"PERIKSA"),IF(COUNTA(H87,I87)=2,"PERIKSA","")))</x:f>
      </x:c>
      <x:c r="U87" s="2" t="str">
        <x:f>IF(A87="","",IF(COUNT(L87,M87)=2,IF(M87&gt;=L87,M87-L87,"PERIKSA"),IF(COUNTA(L87,M87)=2,"PERIKSA","")))</x:f>
      </x:c>
      <x:c r="V87" s="2" t="str">
        <x:f>IF(A87="","",IF(COUNT(H87,P87)=2,IF(P87&gt;=H87,P87-H87,"PERIKSA"),IF(COUNTA(H87,P87)=2,"PERIKSA","")))</x:f>
      </x:c>
      <x:c r="W87" s="2" t="str">
        <x:f>IF(A87="","",IF(OR(COUNTA(H87:P87)&lt;&gt;COUNT(H87:P87),MIN(H87:P87)&lt;0,AND(ISNUMBER(I87),ISNUMBER(J87),J87&lt;I87),AND(ISNUMBER(K87),ISNUMBER(I87),ISNUMBER(J87),K87&gt;J87-I87),AND(ISNUMBER(M87),ISNUMBER(N87),N87&lt;M87),AND(ISNUMBER(O87),ISNUMBER(M87),ISNUMBER(N87),O87&gt;N87-M87),AND(ISNUMBER(P87),ISNUMBER(J87),P87&lt;J87),AND(ISNUMBER(P87),ISNUMBER(N87),P87&lt;N87),T87="PERIKSA",U87="PERIKSA",V87="PERIKSA"),"PERIKSA waktu","telaah catatan"))</x:f>
      </x:c>
      <x:c r="X87" s="2" t="str">
        <x:f>IF(AND(A87&lt;&gt;"",W87&lt;&gt;"PERIKSA waktu",ISNUMBER(K87),K87&gt;=0,ISNUMBER(I87),ISNUMBER(J87),J87&gt;=I87),K87,"")</x:f>
      </x:c>
      <x:c r="Y87" s="2" t="str">
        <x:f>IF(AND(A87&lt;&gt;"",W87&lt;&gt;"PERIKSA waktu",ISNUMBER(O87),O87&gt;=0,ISNUMBER(M87),ISNUMBER(N87),N87&gt;=M87),O87,"")</x:f>
      </x:c>
      <x:c r="Z87" s="2" t="str">
        <x:f>IF(AND(A87&lt;&gt;"",W87&lt;&gt;"PERIKSA waktu",ISNUMBER(T87),T87&gt;=0),T87,"")</x:f>
      </x:c>
      <x:c r="AA87" s="2" t="str">
        <x:f>IF(AND(A87&lt;&gt;"",W87&lt;&gt;"PERIKSA waktu",ISNUMBER(U87),U87&gt;=0),U87,"")</x:f>
      </x:c>
      <x:c r="AB87" s="2" t="str">
        <x:f>IF(AND(A87&lt;&gt;"",W87&lt;&gt;"PERIKSA waktu",ISNUMBER(V87),V87&gt;=0),V87,"")</x:f>
      </x:c>
    </x:row>
    <x:row r="88" ht="24" customHeight="1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" t="str">
        <x:f>IF(A88="","",IF(COUNT(H88,I88)=2,IF(I88&gt;=H88,I88-H88,"PERIKSA"),IF(COUNTA(H88,I88)=2,"PERIKSA","")))</x:f>
      </x:c>
      <x:c r="U88" s="2" t="str">
        <x:f>IF(A88="","",IF(COUNT(L88,M88)=2,IF(M88&gt;=L88,M88-L88,"PERIKSA"),IF(COUNTA(L88,M88)=2,"PERIKSA","")))</x:f>
      </x:c>
      <x:c r="V88" s="2" t="str">
        <x:f>IF(A88="","",IF(COUNT(H88,P88)=2,IF(P88&gt;=H88,P88-H88,"PERIKSA"),IF(COUNTA(H88,P88)=2,"PERIKSA","")))</x:f>
      </x:c>
      <x:c r="W88" s="2" t="str">
        <x:f>IF(A88="","",IF(OR(COUNTA(H88:P88)&lt;&gt;COUNT(H88:P88),MIN(H88:P88)&lt;0,AND(ISNUMBER(I88),ISNUMBER(J88),J88&lt;I88),AND(ISNUMBER(K88),ISNUMBER(I88),ISNUMBER(J88),K88&gt;J88-I88),AND(ISNUMBER(M88),ISNUMBER(N88),N88&lt;M88),AND(ISNUMBER(O88),ISNUMBER(M88),ISNUMBER(N88),O88&gt;N88-M88),AND(ISNUMBER(P88),ISNUMBER(J88),P88&lt;J88),AND(ISNUMBER(P88),ISNUMBER(N88),P88&lt;N88),T88="PERIKSA",U88="PERIKSA",V88="PERIKSA"),"PERIKSA waktu","telaah catatan"))</x:f>
      </x:c>
      <x:c r="X88" s="2" t="str">
        <x:f>IF(AND(A88&lt;&gt;"",W88&lt;&gt;"PERIKSA waktu",ISNUMBER(K88),K88&gt;=0,ISNUMBER(I88),ISNUMBER(J88),J88&gt;=I88),K88,"")</x:f>
      </x:c>
      <x:c r="Y88" s="2" t="str">
        <x:f>IF(AND(A88&lt;&gt;"",W88&lt;&gt;"PERIKSA waktu",ISNUMBER(O88),O88&gt;=0,ISNUMBER(M88),ISNUMBER(N88),N88&gt;=M88),O88,"")</x:f>
      </x:c>
      <x:c r="Z88" s="2" t="str">
        <x:f>IF(AND(A88&lt;&gt;"",W88&lt;&gt;"PERIKSA waktu",ISNUMBER(T88),T88&gt;=0),T88,"")</x:f>
      </x:c>
      <x:c r="AA88" s="2" t="str">
        <x:f>IF(AND(A88&lt;&gt;"",W88&lt;&gt;"PERIKSA waktu",ISNUMBER(U88),U88&gt;=0),U88,"")</x:f>
      </x:c>
      <x:c r="AB88" s="2" t="str">
        <x:f>IF(AND(A88&lt;&gt;"",W88&lt;&gt;"PERIKSA waktu",ISNUMBER(V88),V88&gt;=0),V88,"")</x:f>
      </x:c>
    </x:row>
    <x:row r="89" ht="24" customHeight="1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" t="str">
        <x:f>IF(A89="","",IF(COUNT(H89,I89)=2,IF(I89&gt;=H89,I89-H89,"PERIKSA"),IF(COUNTA(H89,I89)=2,"PERIKSA","")))</x:f>
      </x:c>
      <x:c r="U89" s="2" t="str">
        <x:f>IF(A89="","",IF(COUNT(L89,M89)=2,IF(M89&gt;=L89,M89-L89,"PERIKSA"),IF(COUNTA(L89,M89)=2,"PERIKSA","")))</x:f>
      </x:c>
      <x:c r="V89" s="2" t="str">
        <x:f>IF(A89="","",IF(COUNT(H89,P89)=2,IF(P89&gt;=H89,P89-H89,"PERIKSA"),IF(COUNTA(H89,P89)=2,"PERIKSA","")))</x:f>
      </x:c>
      <x:c r="W89" s="2" t="str">
        <x:f>IF(A89="","",IF(OR(COUNTA(H89:P89)&lt;&gt;COUNT(H89:P89),MIN(H89:P89)&lt;0,AND(ISNUMBER(I89),ISNUMBER(J89),J89&lt;I89),AND(ISNUMBER(K89),ISNUMBER(I89),ISNUMBER(J89),K89&gt;J89-I89),AND(ISNUMBER(M89),ISNUMBER(N89),N89&lt;M89),AND(ISNUMBER(O89),ISNUMBER(M89),ISNUMBER(N89),O89&gt;N89-M89),AND(ISNUMBER(P89),ISNUMBER(J89),P89&lt;J89),AND(ISNUMBER(P89),ISNUMBER(N89),P89&lt;N89),T89="PERIKSA",U89="PERIKSA",V89="PERIKSA"),"PERIKSA waktu","telaah catatan"))</x:f>
      </x:c>
      <x:c r="X89" s="2" t="str">
        <x:f>IF(AND(A89&lt;&gt;"",W89&lt;&gt;"PERIKSA waktu",ISNUMBER(K89),K89&gt;=0,ISNUMBER(I89),ISNUMBER(J89),J89&gt;=I89),K89,"")</x:f>
      </x:c>
      <x:c r="Y89" s="2" t="str">
        <x:f>IF(AND(A89&lt;&gt;"",W89&lt;&gt;"PERIKSA waktu",ISNUMBER(O89),O89&gt;=0,ISNUMBER(M89),ISNUMBER(N89),N89&gt;=M89),O89,"")</x:f>
      </x:c>
      <x:c r="Z89" s="2" t="str">
        <x:f>IF(AND(A89&lt;&gt;"",W89&lt;&gt;"PERIKSA waktu",ISNUMBER(T89),T89&gt;=0),T89,"")</x:f>
      </x:c>
      <x:c r="AA89" s="2" t="str">
        <x:f>IF(AND(A89&lt;&gt;"",W89&lt;&gt;"PERIKSA waktu",ISNUMBER(U89),U89&gt;=0),U89,"")</x:f>
      </x:c>
      <x:c r="AB89" s="2" t="str">
        <x:f>IF(AND(A89&lt;&gt;"",W89&lt;&gt;"PERIKSA waktu",ISNUMBER(V89),V89&gt;=0),V89,"")</x:f>
      </x:c>
    </x:row>
    <x:row r="90" ht="24" customHeight="1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" t="str">
        <x:f>IF(A90="","",IF(COUNT(H90,I90)=2,IF(I90&gt;=H90,I90-H90,"PERIKSA"),IF(COUNTA(H90,I90)=2,"PERIKSA","")))</x:f>
      </x:c>
      <x:c r="U90" s="2" t="str">
        <x:f>IF(A90="","",IF(COUNT(L90,M90)=2,IF(M90&gt;=L90,M90-L90,"PERIKSA"),IF(COUNTA(L90,M90)=2,"PERIKSA","")))</x:f>
      </x:c>
      <x:c r="V90" s="2" t="str">
        <x:f>IF(A90="","",IF(COUNT(H90,P90)=2,IF(P90&gt;=H90,P90-H90,"PERIKSA"),IF(COUNTA(H90,P90)=2,"PERIKSA","")))</x:f>
      </x:c>
      <x:c r="W90" s="2" t="str">
        <x:f>IF(A90="","",IF(OR(COUNTA(H90:P90)&lt;&gt;COUNT(H90:P90),MIN(H90:P90)&lt;0,AND(ISNUMBER(I90),ISNUMBER(J90),J90&lt;I90),AND(ISNUMBER(K90),ISNUMBER(I90),ISNUMBER(J90),K90&gt;J90-I90),AND(ISNUMBER(M90),ISNUMBER(N90),N90&lt;M90),AND(ISNUMBER(O90),ISNUMBER(M90),ISNUMBER(N90),O90&gt;N90-M90),AND(ISNUMBER(P90),ISNUMBER(J90),P90&lt;J90),AND(ISNUMBER(P90),ISNUMBER(N90),P90&lt;N90),T90="PERIKSA",U90="PERIKSA",V90="PERIKSA"),"PERIKSA waktu","telaah catatan"))</x:f>
      </x:c>
      <x:c r="X90" s="2" t="str">
        <x:f>IF(AND(A90&lt;&gt;"",W90&lt;&gt;"PERIKSA waktu",ISNUMBER(K90),K90&gt;=0,ISNUMBER(I90),ISNUMBER(J90),J90&gt;=I90),K90,"")</x:f>
      </x:c>
      <x:c r="Y90" s="2" t="str">
        <x:f>IF(AND(A90&lt;&gt;"",W90&lt;&gt;"PERIKSA waktu",ISNUMBER(O90),O90&gt;=0,ISNUMBER(M90),ISNUMBER(N90),N90&gt;=M90),O90,"")</x:f>
      </x:c>
      <x:c r="Z90" s="2" t="str">
        <x:f>IF(AND(A90&lt;&gt;"",W90&lt;&gt;"PERIKSA waktu",ISNUMBER(T90),T90&gt;=0),T90,"")</x:f>
      </x:c>
      <x:c r="AA90" s="2" t="str">
        <x:f>IF(AND(A90&lt;&gt;"",W90&lt;&gt;"PERIKSA waktu",ISNUMBER(U90),U90&gt;=0),U90,"")</x:f>
      </x:c>
      <x:c r="AB90" s="2" t="str">
        <x:f>IF(AND(A90&lt;&gt;"",W90&lt;&gt;"PERIKSA waktu",ISNUMBER(V90),V90&gt;=0),V90,"")</x:f>
      </x:c>
    </x:row>
    <x:row r="91" ht="24" customHeight="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" t="str">
        <x:f>IF(A91="","",IF(COUNT(H91,I91)=2,IF(I91&gt;=H91,I91-H91,"PERIKSA"),IF(COUNTA(H91,I91)=2,"PERIKSA","")))</x:f>
      </x:c>
      <x:c r="U91" s="2" t="str">
        <x:f>IF(A91="","",IF(COUNT(L91,M91)=2,IF(M91&gt;=L91,M91-L91,"PERIKSA"),IF(COUNTA(L91,M91)=2,"PERIKSA","")))</x:f>
      </x:c>
      <x:c r="V91" s="2" t="str">
        <x:f>IF(A91="","",IF(COUNT(H91,P91)=2,IF(P91&gt;=H91,P91-H91,"PERIKSA"),IF(COUNTA(H91,P91)=2,"PERIKSA","")))</x:f>
      </x:c>
      <x:c r="W91" s="2" t="str">
        <x:f>IF(A91="","",IF(OR(COUNTA(H91:P91)&lt;&gt;COUNT(H91:P91),MIN(H91:P91)&lt;0,AND(ISNUMBER(I91),ISNUMBER(J91),J91&lt;I91),AND(ISNUMBER(K91),ISNUMBER(I91),ISNUMBER(J91),K91&gt;J91-I91),AND(ISNUMBER(M91),ISNUMBER(N91),N91&lt;M91),AND(ISNUMBER(O91),ISNUMBER(M91),ISNUMBER(N91),O91&gt;N91-M91),AND(ISNUMBER(P91),ISNUMBER(J91),P91&lt;J91),AND(ISNUMBER(P91),ISNUMBER(N91),P91&lt;N91),T91="PERIKSA",U91="PERIKSA",V91="PERIKSA"),"PERIKSA waktu","telaah catatan"))</x:f>
      </x:c>
      <x:c r="X91" s="2" t="str">
        <x:f>IF(AND(A91&lt;&gt;"",W91&lt;&gt;"PERIKSA waktu",ISNUMBER(K91),K91&gt;=0,ISNUMBER(I91),ISNUMBER(J91),J91&gt;=I91),K91,"")</x:f>
      </x:c>
      <x:c r="Y91" s="2" t="str">
        <x:f>IF(AND(A91&lt;&gt;"",W91&lt;&gt;"PERIKSA waktu",ISNUMBER(O91),O91&gt;=0,ISNUMBER(M91),ISNUMBER(N91),N91&gt;=M91),O91,"")</x:f>
      </x:c>
      <x:c r="Z91" s="2" t="str">
        <x:f>IF(AND(A91&lt;&gt;"",W91&lt;&gt;"PERIKSA waktu",ISNUMBER(T91),T91&gt;=0),T91,"")</x:f>
      </x:c>
      <x:c r="AA91" s="2" t="str">
        <x:f>IF(AND(A91&lt;&gt;"",W91&lt;&gt;"PERIKSA waktu",ISNUMBER(U91),U91&gt;=0),U91,"")</x:f>
      </x:c>
      <x:c r="AB91" s="2" t="str">
        <x:f>IF(AND(A91&lt;&gt;"",W91&lt;&gt;"PERIKSA waktu",ISNUMBER(V91),V91&gt;=0),V91,"")</x:f>
      </x:c>
    </x:row>
    <x:row r="92" ht="24" customHeight="1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" t="str">
        <x:f>IF(A92="","",IF(COUNT(H92,I92)=2,IF(I92&gt;=H92,I92-H92,"PERIKSA"),IF(COUNTA(H92,I92)=2,"PERIKSA","")))</x:f>
      </x:c>
      <x:c r="U92" s="2" t="str">
        <x:f>IF(A92="","",IF(COUNT(L92,M92)=2,IF(M92&gt;=L92,M92-L92,"PERIKSA"),IF(COUNTA(L92,M92)=2,"PERIKSA","")))</x:f>
      </x:c>
      <x:c r="V92" s="2" t="str">
        <x:f>IF(A92="","",IF(COUNT(H92,P92)=2,IF(P92&gt;=H92,P92-H92,"PERIKSA"),IF(COUNTA(H92,P92)=2,"PERIKSA","")))</x:f>
      </x:c>
      <x:c r="W92" s="2" t="str">
        <x:f>IF(A92="","",IF(OR(COUNTA(H92:P92)&lt;&gt;COUNT(H92:P92),MIN(H92:P92)&lt;0,AND(ISNUMBER(I92),ISNUMBER(J92),J92&lt;I92),AND(ISNUMBER(K92),ISNUMBER(I92),ISNUMBER(J92),K92&gt;J92-I92),AND(ISNUMBER(M92),ISNUMBER(N92),N92&lt;M92),AND(ISNUMBER(O92),ISNUMBER(M92),ISNUMBER(N92),O92&gt;N92-M92),AND(ISNUMBER(P92),ISNUMBER(J92),P92&lt;J92),AND(ISNUMBER(P92),ISNUMBER(N92),P92&lt;N92),T92="PERIKSA",U92="PERIKSA",V92="PERIKSA"),"PERIKSA waktu","telaah catatan"))</x:f>
      </x:c>
      <x:c r="X92" s="2" t="str">
        <x:f>IF(AND(A92&lt;&gt;"",W92&lt;&gt;"PERIKSA waktu",ISNUMBER(K92),K92&gt;=0,ISNUMBER(I92),ISNUMBER(J92),J92&gt;=I92),K92,"")</x:f>
      </x:c>
      <x:c r="Y92" s="2" t="str">
        <x:f>IF(AND(A92&lt;&gt;"",W92&lt;&gt;"PERIKSA waktu",ISNUMBER(O92),O92&gt;=0,ISNUMBER(M92),ISNUMBER(N92),N92&gt;=M92),O92,"")</x:f>
      </x:c>
      <x:c r="Z92" s="2" t="str">
        <x:f>IF(AND(A92&lt;&gt;"",W92&lt;&gt;"PERIKSA waktu",ISNUMBER(T92),T92&gt;=0),T92,"")</x:f>
      </x:c>
      <x:c r="AA92" s="2" t="str">
        <x:f>IF(AND(A92&lt;&gt;"",W92&lt;&gt;"PERIKSA waktu",ISNUMBER(U92),U92&gt;=0),U92,"")</x:f>
      </x:c>
      <x:c r="AB92" s="2" t="str">
        <x:f>IF(AND(A92&lt;&gt;"",W92&lt;&gt;"PERIKSA waktu",ISNUMBER(V92),V92&gt;=0),V92,"")</x:f>
      </x:c>
    </x:row>
    <x:row r="93" ht="24" customHeight="1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" t="str">
        <x:f>IF(A93="","",IF(COUNT(H93,I93)=2,IF(I93&gt;=H93,I93-H93,"PERIKSA"),IF(COUNTA(H93,I93)=2,"PERIKSA","")))</x:f>
      </x:c>
      <x:c r="U93" s="2" t="str">
        <x:f>IF(A93="","",IF(COUNT(L93,M93)=2,IF(M93&gt;=L93,M93-L93,"PERIKSA"),IF(COUNTA(L93,M93)=2,"PERIKSA","")))</x:f>
      </x:c>
      <x:c r="V93" s="2" t="str">
        <x:f>IF(A93="","",IF(COUNT(H93,P93)=2,IF(P93&gt;=H93,P93-H93,"PERIKSA"),IF(COUNTA(H93,P93)=2,"PERIKSA","")))</x:f>
      </x:c>
      <x:c r="W93" s="2" t="str">
        <x:f>IF(A93="","",IF(OR(COUNTA(H93:P93)&lt;&gt;COUNT(H93:P93),MIN(H93:P93)&lt;0,AND(ISNUMBER(I93),ISNUMBER(J93),J93&lt;I93),AND(ISNUMBER(K93),ISNUMBER(I93),ISNUMBER(J93),K93&gt;J93-I93),AND(ISNUMBER(M93),ISNUMBER(N93),N93&lt;M93),AND(ISNUMBER(O93),ISNUMBER(M93),ISNUMBER(N93),O93&gt;N93-M93),AND(ISNUMBER(P93),ISNUMBER(J93),P93&lt;J93),AND(ISNUMBER(P93),ISNUMBER(N93),P93&lt;N93),T93="PERIKSA",U93="PERIKSA",V93="PERIKSA"),"PERIKSA waktu","telaah catatan"))</x:f>
      </x:c>
      <x:c r="X93" s="2" t="str">
        <x:f>IF(AND(A93&lt;&gt;"",W93&lt;&gt;"PERIKSA waktu",ISNUMBER(K93),K93&gt;=0,ISNUMBER(I93),ISNUMBER(J93),J93&gt;=I93),K93,"")</x:f>
      </x:c>
      <x:c r="Y93" s="2" t="str">
        <x:f>IF(AND(A93&lt;&gt;"",W93&lt;&gt;"PERIKSA waktu",ISNUMBER(O93),O93&gt;=0,ISNUMBER(M93),ISNUMBER(N93),N93&gt;=M93),O93,"")</x:f>
      </x:c>
      <x:c r="Z93" s="2" t="str">
        <x:f>IF(AND(A93&lt;&gt;"",W93&lt;&gt;"PERIKSA waktu",ISNUMBER(T93),T93&gt;=0),T93,"")</x:f>
      </x:c>
      <x:c r="AA93" s="2" t="str">
        <x:f>IF(AND(A93&lt;&gt;"",W93&lt;&gt;"PERIKSA waktu",ISNUMBER(U93),U93&gt;=0),U93,"")</x:f>
      </x:c>
      <x:c r="AB93" s="2" t="str">
        <x:f>IF(AND(A93&lt;&gt;"",W93&lt;&gt;"PERIKSA waktu",ISNUMBER(V93),V93&gt;=0),V93,"")</x:f>
      </x:c>
    </x:row>
    <x:row r="94" ht="24" customHeight="1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" t="str">
        <x:f>IF(A94="","",IF(COUNT(H94,I94)=2,IF(I94&gt;=H94,I94-H94,"PERIKSA"),IF(COUNTA(H94,I94)=2,"PERIKSA","")))</x:f>
      </x:c>
      <x:c r="U94" s="2" t="str">
        <x:f>IF(A94="","",IF(COUNT(L94,M94)=2,IF(M94&gt;=L94,M94-L94,"PERIKSA"),IF(COUNTA(L94,M94)=2,"PERIKSA","")))</x:f>
      </x:c>
      <x:c r="V94" s="2" t="str">
        <x:f>IF(A94="","",IF(COUNT(H94,P94)=2,IF(P94&gt;=H94,P94-H94,"PERIKSA"),IF(COUNTA(H94,P94)=2,"PERIKSA","")))</x:f>
      </x:c>
      <x:c r="W94" s="2" t="str">
        <x:f>IF(A94="","",IF(OR(COUNTA(H94:P94)&lt;&gt;COUNT(H94:P94),MIN(H94:P94)&lt;0,AND(ISNUMBER(I94),ISNUMBER(J94),J94&lt;I94),AND(ISNUMBER(K94),ISNUMBER(I94),ISNUMBER(J94),K94&gt;J94-I94),AND(ISNUMBER(M94),ISNUMBER(N94),N94&lt;M94),AND(ISNUMBER(O94),ISNUMBER(M94),ISNUMBER(N94),O94&gt;N94-M94),AND(ISNUMBER(P94),ISNUMBER(J94),P94&lt;J94),AND(ISNUMBER(P94),ISNUMBER(N94),P94&lt;N94),T94="PERIKSA",U94="PERIKSA",V94="PERIKSA"),"PERIKSA waktu","telaah catatan"))</x:f>
      </x:c>
      <x:c r="X94" s="2" t="str">
        <x:f>IF(AND(A94&lt;&gt;"",W94&lt;&gt;"PERIKSA waktu",ISNUMBER(K94),K94&gt;=0,ISNUMBER(I94),ISNUMBER(J94),J94&gt;=I94),K94,"")</x:f>
      </x:c>
      <x:c r="Y94" s="2" t="str">
        <x:f>IF(AND(A94&lt;&gt;"",W94&lt;&gt;"PERIKSA waktu",ISNUMBER(O94),O94&gt;=0,ISNUMBER(M94),ISNUMBER(N94),N94&gt;=M94),O94,"")</x:f>
      </x:c>
      <x:c r="Z94" s="2" t="str">
        <x:f>IF(AND(A94&lt;&gt;"",W94&lt;&gt;"PERIKSA waktu",ISNUMBER(T94),T94&gt;=0),T94,"")</x:f>
      </x:c>
      <x:c r="AA94" s="2" t="str">
        <x:f>IF(AND(A94&lt;&gt;"",W94&lt;&gt;"PERIKSA waktu",ISNUMBER(U94),U94&gt;=0),U94,"")</x:f>
      </x:c>
      <x:c r="AB94" s="2" t="str">
        <x:f>IF(AND(A94&lt;&gt;"",W94&lt;&gt;"PERIKSA waktu",ISNUMBER(V94),V94&gt;=0),V94,"")</x:f>
      </x:c>
    </x:row>
    <x:row r="95" ht="24" customHeight="1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" t="str">
        <x:f>IF(A95="","",IF(COUNT(H95,I95)=2,IF(I95&gt;=H95,I95-H95,"PERIKSA"),IF(COUNTA(H95,I95)=2,"PERIKSA","")))</x:f>
      </x:c>
      <x:c r="U95" s="2" t="str">
        <x:f>IF(A95="","",IF(COUNT(L95,M95)=2,IF(M95&gt;=L95,M95-L95,"PERIKSA"),IF(COUNTA(L95,M95)=2,"PERIKSA","")))</x:f>
      </x:c>
      <x:c r="V95" s="2" t="str">
        <x:f>IF(A95="","",IF(COUNT(H95,P95)=2,IF(P95&gt;=H95,P95-H95,"PERIKSA"),IF(COUNTA(H95,P95)=2,"PERIKSA","")))</x:f>
      </x:c>
      <x:c r="W95" s="2" t="str">
        <x:f>IF(A95="","",IF(OR(COUNTA(H95:P95)&lt;&gt;COUNT(H95:P95),MIN(H95:P95)&lt;0,AND(ISNUMBER(I95),ISNUMBER(J95),J95&lt;I95),AND(ISNUMBER(K95),ISNUMBER(I95),ISNUMBER(J95),K95&gt;J95-I95),AND(ISNUMBER(M95),ISNUMBER(N95),N95&lt;M95),AND(ISNUMBER(O95),ISNUMBER(M95),ISNUMBER(N95),O95&gt;N95-M95),AND(ISNUMBER(P95),ISNUMBER(J95),P95&lt;J95),AND(ISNUMBER(P95),ISNUMBER(N95),P95&lt;N95),T95="PERIKSA",U95="PERIKSA",V95="PERIKSA"),"PERIKSA waktu","telaah catatan"))</x:f>
      </x:c>
      <x:c r="X95" s="2" t="str">
        <x:f>IF(AND(A95&lt;&gt;"",W95&lt;&gt;"PERIKSA waktu",ISNUMBER(K95),K95&gt;=0,ISNUMBER(I95),ISNUMBER(J95),J95&gt;=I95),K95,"")</x:f>
      </x:c>
      <x:c r="Y95" s="2" t="str">
        <x:f>IF(AND(A95&lt;&gt;"",W95&lt;&gt;"PERIKSA waktu",ISNUMBER(O95),O95&gt;=0,ISNUMBER(M95),ISNUMBER(N95),N95&gt;=M95),O95,"")</x:f>
      </x:c>
      <x:c r="Z95" s="2" t="str">
        <x:f>IF(AND(A95&lt;&gt;"",W95&lt;&gt;"PERIKSA waktu",ISNUMBER(T95),T95&gt;=0),T95,"")</x:f>
      </x:c>
      <x:c r="AA95" s="2" t="str">
        <x:f>IF(AND(A95&lt;&gt;"",W95&lt;&gt;"PERIKSA waktu",ISNUMBER(U95),U95&gt;=0),U95,"")</x:f>
      </x:c>
      <x:c r="AB95" s="2" t="str">
        <x:f>IF(AND(A95&lt;&gt;"",W95&lt;&gt;"PERIKSA waktu",ISNUMBER(V95),V95&gt;=0),V95,"")</x:f>
      </x:c>
    </x:row>
    <x:row r="96" ht="24" customHeight="1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" t="str">
        <x:f>IF(A96="","",IF(COUNT(H96,I96)=2,IF(I96&gt;=H96,I96-H96,"PERIKSA"),IF(COUNTA(H96,I96)=2,"PERIKSA","")))</x:f>
      </x:c>
      <x:c r="U96" s="2" t="str">
        <x:f>IF(A96="","",IF(COUNT(L96,M96)=2,IF(M96&gt;=L96,M96-L96,"PERIKSA"),IF(COUNTA(L96,M96)=2,"PERIKSA","")))</x:f>
      </x:c>
      <x:c r="V96" s="2" t="str">
        <x:f>IF(A96="","",IF(COUNT(H96,P96)=2,IF(P96&gt;=H96,P96-H96,"PERIKSA"),IF(COUNTA(H96,P96)=2,"PERIKSA","")))</x:f>
      </x:c>
      <x:c r="W96" s="2" t="str">
        <x:f>IF(A96="","",IF(OR(COUNTA(H96:P96)&lt;&gt;COUNT(H96:P96),MIN(H96:P96)&lt;0,AND(ISNUMBER(I96),ISNUMBER(J96),J96&lt;I96),AND(ISNUMBER(K96),ISNUMBER(I96),ISNUMBER(J96),K96&gt;J96-I96),AND(ISNUMBER(M96),ISNUMBER(N96),N96&lt;M96),AND(ISNUMBER(O96),ISNUMBER(M96),ISNUMBER(N96),O96&gt;N96-M96),AND(ISNUMBER(P96),ISNUMBER(J96),P96&lt;J96),AND(ISNUMBER(P96),ISNUMBER(N96),P96&lt;N96),T96="PERIKSA",U96="PERIKSA",V96="PERIKSA"),"PERIKSA waktu","telaah catatan"))</x:f>
      </x:c>
      <x:c r="X96" s="2" t="str">
        <x:f>IF(AND(A96&lt;&gt;"",W96&lt;&gt;"PERIKSA waktu",ISNUMBER(K96),K96&gt;=0,ISNUMBER(I96),ISNUMBER(J96),J96&gt;=I96),K96,"")</x:f>
      </x:c>
      <x:c r="Y96" s="2" t="str">
        <x:f>IF(AND(A96&lt;&gt;"",W96&lt;&gt;"PERIKSA waktu",ISNUMBER(O96),O96&gt;=0,ISNUMBER(M96),ISNUMBER(N96),N96&gt;=M96),O96,"")</x:f>
      </x:c>
      <x:c r="Z96" s="2" t="str">
        <x:f>IF(AND(A96&lt;&gt;"",W96&lt;&gt;"PERIKSA waktu",ISNUMBER(T96),T96&gt;=0),T96,"")</x:f>
      </x:c>
      <x:c r="AA96" s="2" t="str">
        <x:f>IF(AND(A96&lt;&gt;"",W96&lt;&gt;"PERIKSA waktu",ISNUMBER(U96),U96&gt;=0),U96,"")</x:f>
      </x:c>
      <x:c r="AB96" s="2" t="str">
        <x:f>IF(AND(A96&lt;&gt;"",W96&lt;&gt;"PERIKSA waktu",ISNUMBER(V96),V96&gt;=0),V96,"")</x:f>
      </x:c>
    </x:row>
    <x:row r="97" ht="24" customHeight="1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" t="str">
        <x:f>IF(A97="","",IF(COUNT(H97,I97)=2,IF(I97&gt;=H97,I97-H97,"PERIKSA"),IF(COUNTA(H97,I97)=2,"PERIKSA","")))</x:f>
      </x:c>
      <x:c r="U97" s="2" t="str">
        <x:f>IF(A97="","",IF(COUNT(L97,M97)=2,IF(M97&gt;=L97,M97-L97,"PERIKSA"),IF(COUNTA(L97,M97)=2,"PERIKSA","")))</x:f>
      </x:c>
      <x:c r="V97" s="2" t="str">
        <x:f>IF(A97="","",IF(COUNT(H97,P97)=2,IF(P97&gt;=H97,P97-H97,"PERIKSA"),IF(COUNTA(H97,P97)=2,"PERIKSA","")))</x:f>
      </x:c>
      <x:c r="W97" s="2" t="str">
        <x:f>IF(A97="","",IF(OR(COUNTA(H97:P97)&lt;&gt;COUNT(H97:P97),MIN(H97:P97)&lt;0,AND(ISNUMBER(I97),ISNUMBER(J97),J97&lt;I97),AND(ISNUMBER(K97),ISNUMBER(I97),ISNUMBER(J97),K97&gt;J97-I97),AND(ISNUMBER(M97),ISNUMBER(N97),N97&lt;M97),AND(ISNUMBER(O97),ISNUMBER(M97),ISNUMBER(N97),O97&gt;N97-M97),AND(ISNUMBER(P97),ISNUMBER(J97),P97&lt;J97),AND(ISNUMBER(P97),ISNUMBER(N97),P97&lt;N97),T97="PERIKSA",U97="PERIKSA",V97="PERIKSA"),"PERIKSA waktu","telaah catatan"))</x:f>
      </x:c>
      <x:c r="X97" s="2" t="str">
        <x:f>IF(AND(A97&lt;&gt;"",W97&lt;&gt;"PERIKSA waktu",ISNUMBER(K97),K97&gt;=0,ISNUMBER(I97),ISNUMBER(J97),J97&gt;=I97),K97,"")</x:f>
      </x:c>
      <x:c r="Y97" s="2" t="str">
        <x:f>IF(AND(A97&lt;&gt;"",W97&lt;&gt;"PERIKSA waktu",ISNUMBER(O97),O97&gt;=0,ISNUMBER(M97),ISNUMBER(N97),N97&gt;=M97),O97,"")</x:f>
      </x:c>
      <x:c r="Z97" s="2" t="str">
        <x:f>IF(AND(A97&lt;&gt;"",W97&lt;&gt;"PERIKSA waktu",ISNUMBER(T97),T97&gt;=0),T97,"")</x:f>
      </x:c>
      <x:c r="AA97" s="2" t="str">
        <x:f>IF(AND(A97&lt;&gt;"",W97&lt;&gt;"PERIKSA waktu",ISNUMBER(U97),U97&gt;=0),U97,"")</x:f>
      </x:c>
      <x:c r="AB97" s="2" t="str">
        <x:f>IF(AND(A97&lt;&gt;"",W97&lt;&gt;"PERIKSA waktu",ISNUMBER(V97),V97&gt;=0),V97,"")</x:f>
      </x:c>
    </x:row>
    <x:row r="98" ht="24" customHeight="1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" t="str">
        <x:f>IF(A98="","",IF(COUNT(H98,I98)=2,IF(I98&gt;=H98,I98-H98,"PERIKSA"),IF(COUNTA(H98,I98)=2,"PERIKSA","")))</x:f>
      </x:c>
      <x:c r="U98" s="2" t="str">
        <x:f>IF(A98="","",IF(COUNT(L98,M98)=2,IF(M98&gt;=L98,M98-L98,"PERIKSA"),IF(COUNTA(L98,M98)=2,"PERIKSA","")))</x:f>
      </x:c>
      <x:c r="V98" s="2" t="str">
        <x:f>IF(A98="","",IF(COUNT(H98,P98)=2,IF(P98&gt;=H98,P98-H98,"PERIKSA"),IF(COUNTA(H98,P98)=2,"PERIKSA","")))</x:f>
      </x:c>
      <x:c r="W98" s="2" t="str">
        <x:f>IF(A98="","",IF(OR(COUNTA(H98:P98)&lt;&gt;COUNT(H98:P98),MIN(H98:P98)&lt;0,AND(ISNUMBER(I98),ISNUMBER(J98),J98&lt;I98),AND(ISNUMBER(K98),ISNUMBER(I98),ISNUMBER(J98),K98&gt;J98-I98),AND(ISNUMBER(M98),ISNUMBER(N98),N98&lt;M98),AND(ISNUMBER(O98),ISNUMBER(M98),ISNUMBER(N98),O98&gt;N98-M98),AND(ISNUMBER(P98),ISNUMBER(J98),P98&lt;J98),AND(ISNUMBER(P98),ISNUMBER(N98),P98&lt;N98),T98="PERIKSA",U98="PERIKSA",V98="PERIKSA"),"PERIKSA waktu","telaah catatan"))</x:f>
      </x:c>
      <x:c r="X98" s="2" t="str">
        <x:f>IF(AND(A98&lt;&gt;"",W98&lt;&gt;"PERIKSA waktu",ISNUMBER(K98),K98&gt;=0,ISNUMBER(I98),ISNUMBER(J98),J98&gt;=I98),K98,"")</x:f>
      </x:c>
      <x:c r="Y98" s="2" t="str">
        <x:f>IF(AND(A98&lt;&gt;"",W98&lt;&gt;"PERIKSA waktu",ISNUMBER(O98),O98&gt;=0,ISNUMBER(M98),ISNUMBER(N98),N98&gt;=M98),O98,"")</x:f>
      </x:c>
      <x:c r="Z98" s="2" t="str">
        <x:f>IF(AND(A98&lt;&gt;"",W98&lt;&gt;"PERIKSA waktu",ISNUMBER(T98),T98&gt;=0),T98,"")</x:f>
      </x:c>
      <x:c r="AA98" s="2" t="str">
        <x:f>IF(AND(A98&lt;&gt;"",W98&lt;&gt;"PERIKSA waktu",ISNUMBER(U98),U98&gt;=0),U98,"")</x:f>
      </x:c>
      <x:c r="AB98" s="2" t="str">
        <x:f>IF(AND(A98&lt;&gt;"",W98&lt;&gt;"PERIKSA waktu",ISNUMBER(V98),V98&gt;=0),V98,"")</x:f>
      </x:c>
    </x:row>
    <x:row r="99" ht="24" customHeight="1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" t="str">
        <x:f>IF(A99="","",IF(COUNT(H99,I99)=2,IF(I99&gt;=H99,I99-H99,"PERIKSA"),IF(COUNTA(H99,I99)=2,"PERIKSA","")))</x:f>
      </x:c>
      <x:c r="U99" s="2" t="str">
        <x:f>IF(A99="","",IF(COUNT(L99,M99)=2,IF(M99&gt;=L99,M99-L99,"PERIKSA"),IF(COUNTA(L99,M99)=2,"PERIKSA","")))</x:f>
      </x:c>
      <x:c r="V99" s="2" t="str">
        <x:f>IF(A99="","",IF(COUNT(H99,P99)=2,IF(P99&gt;=H99,P99-H99,"PERIKSA"),IF(COUNTA(H99,P99)=2,"PERIKSA","")))</x:f>
      </x:c>
      <x:c r="W99" s="2" t="str">
        <x:f>IF(A99="","",IF(OR(COUNTA(H99:P99)&lt;&gt;COUNT(H99:P99),MIN(H99:P99)&lt;0,AND(ISNUMBER(I99),ISNUMBER(J99),J99&lt;I99),AND(ISNUMBER(K99),ISNUMBER(I99),ISNUMBER(J99),K99&gt;J99-I99),AND(ISNUMBER(M99),ISNUMBER(N99),N99&lt;M99),AND(ISNUMBER(O99),ISNUMBER(M99),ISNUMBER(N99),O99&gt;N99-M99),AND(ISNUMBER(P99),ISNUMBER(J99),P99&lt;J99),AND(ISNUMBER(P99),ISNUMBER(N99),P99&lt;N99),T99="PERIKSA",U99="PERIKSA",V99="PERIKSA"),"PERIKSA waktu","telaah catatan"))</x:f>
      </x:c>
      <x:c r="X99" s="2" t="str">
        <x:f>IF(AND(A99&lt;&gt;"",W99&lt;&gt;"PERIKSA waktu",ISNUMBER(K99),K99&gt;=0,ISNUMBER(I99),ISNUMBER(J99),J99&gt;=I99),K99,"")</x:f>
      </x:c>
      <x:c r="Y99" s="2" t="str">
        <x:f>IF(AND(A99&lt;&gt;"",W99&lt;&gt;"PERIKSA waktu",ISNUMBER(O99),O99&gt;=0,ISNUMBER(M99),ISNUMBER(N99),N99&gt;=M99),O99,"")</x:f>
      </x:c>
      <x:c r="Z99" s="2" t="str">
        <x:f>IF(AND(A99&lt;&gt;"",W99&lt;&gt;"PERIKSA waktu",ISNUMBER(T99),T99&gt;=0),T99,"")</x:f>
      </x:c>
      <x:c r="AA99" s="2" t="str">
        <x:f>IF(AND(A99&lt;&gt;"",W99&lt;&gt;"PERIKSA waktu",ISNUMBER(U99),U99&gt;=0),U99,"")</x:f>
      </x:c>
      <x:c r="AB99" s="2" t="str">
        <x:f>IF(AND(A99&lt;&gt;"",W99&lt;&gt;"PERIKSA waktu",ISNUMBER(V99),V99&gt;=0),V99,"")</x:f>
      </x:c>
    </x:row>
    <x:row r="100" ht="24" customHeight="1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" t="str">
        <x:f>IF(A100="","",IF(COUNT(H100,I100)=2,IF(I100&gt;=H100,I100-H100,"PERIKSA"),IF(COUNTA(H100,I100)=2,"PERIKSA","")))</x:f>
      </x:c>
      <x:c r="U100" s="2" t="str">
        <x:f>IF(A100="","",IF(COUNT(L100,M100)=2,IF(M100&gt;=L100,M100-L100,"PERIKSA"),IF(COUNTA(L100,M100)=2,"PERIKSA","")))</x:f>
      </x:c>
      <x:c r="V100" s="2" t="str">
        <x:f>IF(A100="","",IF(COUNT(H100,P100)=2,IF(P100&gt;=H100,P100-H100,"PERIKSA"),IF(COUNTA(H100,P100)=2,"PERIKSA","")))</x:f>
      </x:c>
      <x:c r="W100" s="2" t="str">
        <x:f>IF(A100="","",IF(OR(COUNTA(H100:P100)&lt;&gt;COUNT(H100:P100),MIN(H100:P100)&lt;0,AND(ISNUMBER(I100),ISNUMBER(J100),J100&lt;I100),AND(ISNUMBER(K100),ISNUMBER(I100),ISNUMBER(J100),K100&gt;J100-I100),AND(ISNUMBER(M100),ISNUMBER(N100),N100&lt;M100),AND(ISNUMBER(O100),ISNUMBER(M100),ISNUMBER(N100),O100&gt;N100-M100),AND(ISNUMBER(P100),ISNUMBER(J100),P100&lt;J100),AND(ISNUMBER(P100),ISNUMBER(N100),P100&lt;N100),T100="PERIKSA",U100="PERIKSA",V100="PERIKSA"),"PERIKSA waktu","telaah catatan"))</x:f>
      </x:c>
      <x:c r="X100" s="2" t="str">
        <x:f>IF(AND(A100&lt;&gt;"",W100&lt;&gt;"PERIKSA waktu",ISNUMBER(K100),K100&gt;=0,ISNUMBER(I100),ISNUMBER(J100),J100&gt;=I100),K100,"")</x:f>
      </x:c>
      <x:c r="Y100" s="2" t="str">
        <x:f>IF(AND(A100&lt;&gt;"",W100&lt;&gt;"PERIKSA waktu",ISNUMBER(O100),O100&gt;=0,ISNUMBER(M100),ISNUMBER(N100),N100&gt;=M100),O100,"")</x:f>
      </x:c>
      <x:c r="Z100" s="2" t="str">
        <x:f>IF(AND(A100&lt;&gt;"",W100&lt;&gt;"PERIKSA waktu",ISNUMBER(T100),T100&gt;=0),T100,"")</x:f>
      </x:c>
      <x:c r="AA100" s="2" t="str">
        <x:f>IF(AND(A100&lt;&gt;"",W100&lt;&gt;"PERIKSA waktu",ISNUMBER(U100),U100&gt;=0),U100,"")</x:f>
      </x:c>
      <x:c r="AB100" s="2" t="str">
        <x:f>IF(AND(A100&lt;&gt;"",W100&lt;&gt;"PERIKSA waktu",ISNUMBER(V100),V100&gt;=0),V100,"")</x:f>
      </x:c>
    </x:row>
    <x:row r="101" ht="24" customHeight="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" t="str">
        <x:f>IF(A101="","",IF(COUNT(H101,I101)=2,IF(I101&gt;=H101,I101-H101,"PERIKSA"),IF(COUNTA(H101,I101)=2,"PERIKSA","")))</x:f>
      </x:c>
      <x:c r="U101" s="2" t="str">
        <x:f>IF(A101="","",IF(COUNT(L101,M101)=2,IF(M101&gt;=L101,M101-L101,"PERIKSA"),IF(COUNTA(L101,M101)=2,"PERIKSA","")))</x:f>
      </x:c>
      <x:c r="V101" s="2" t="str">
        <x:f>IF(A101="","",IF(COUNT(H101,P101)=2,IF(P101&gt;=H101,P101-H101,"PERIKSA"),IF(COUNTA(H101,P101)=2,"PERIKSA","")))</x:f>
      </x:c>
      <x:c r="W101" s="2" t="str">
        <x:f>IF(A101="","",IF(OR(COUNTA(H101:P101)&lt;&gt;COUNT(H101:P101),MIN(H101:P101)&lt;0,AND(ISNUMBER(I101),ISNUMBER(J101),J101&lt;I101),AND(ISNUMBER(K101),ISNUMBER(I101),ISNUMBER(J101),K101&gt;J101-I101),AND(ISNUMBER(M101),ISNUMBER(N101),N101&lt;M101),AND(ISNUMBER(O101),ISNUMBER(M101),ISNUMBER(N101),O101&gt;N101-M101),AND(ISNUMBER(P101),ISNUMBER(J101),P101&lt;J101),AND(ISNUMBER(P101),ISNUMBER(N101),P101&lt;N101),T101="PERIKSA",U101="PERIKSA",V101="PERIKSA"),"PERIKSA waktu","telaah catatan"))</x:f>
      </x:c>
      <x:c r="X101" s="2" t="str">
        <x:f>IF(AND(A101&lt;&gt;"",W101&lt;&gt;"PERIKSA waktu",ISNUMBER(K101),K101&gt;=0,ISNUMBER(I101),ISNUMBER(J101),J101&gt;=I101),K101,"")</x:f>
      </x:c>
      <x:c r="Y101" s="2" t="str">
        <x:f>IF(AND(A101&lt;&gt;"",W101&lt;&gt;"PERIKSA waktu",ISNUMBER(O101),O101&gt;=0,ISNUMBER(M101),ISNUMBER(N101),N101&gt;=M101),O101,"")</x:f>
      </x:c>
      <x:c r="Z101" s="2" t="str">
        <x:f>IF(AND(A101&lt;&gt;"",W101&lt;&gt;"PERIKSA waktu",ISNUMBER(T101),T101&gt;=0),T101,"")</x:f>
      </x:c>
      <x:c r="AA101" s="2" t="str">
        <x:f>IF(AND(A101&lt;&gt;"",W101&lt;&gt;"PERIKSA waktu",ISNUMBER(U101),U101&gt;=0),U101,"")</x:f>
      </x:c>
      <x:c r="AB101" s="2" t="str">
        <x:f>IF(AND(A101&lt;&gt;"",W101&lt;&gt;"PERIKSA waktu",ISNUMBER(V101),V101&gt;=0),V101,"")</x:f>
      </x:c>
    </x:row>
    <x:row r="102" ht="24" customHeight="1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" t="str">
        <x:f>IF(A102="","",IF(COUNT(H102,I102)=2,IF(I102&gt;=H102,I102-H102,"PERIKSA"),IF(COUNTA(H102,I102)=2,"PERIKSA","")))</x:f>
      </x:c>
      <x:c r="U102" s="2" t="str">
        <x:f>IF(A102="","",IF(COUNT(L102,M102)=2,IF(M102&gt;=L102,M102-L102,"PERIKSA"),IF(COUNTA(L102,M102)=2,"PERIKSA","")))</x:f>
      </x:c>
      <x:c r="V102" s="2" t="str">
        <x:f>IF(A102="","",IF(COUNT(H102,P102)=2,IF(P102&gt;=H102,P102-H102,"PERIKSA"),IF(COUNTA(H102,P102)=2,"PERIKSA","")))</x:f>
      </x:c>
      <x:c r="W102" s="2" t="str">
        <x:f>IF(A102="","",IF(OR(COUNTA(H102:P102)&lt;&gt;COUNT(H102:P102),MIN(H102:P102)&lt;0,AND(ISNUMBER(I102),ISNUMBER(J102),J102&lt;I102),AND(ISNUMBER(K102),ISNUMBER(I102),ISNUMBER(J102),K102&gt;J102-I102),AND(ISNUMBER(M102),ISNUMBER(N102),N102&lt;M102),AND(ISNUMBER(O102),ISNUMBER(M102),ISNUMBER(N102),O102&gt;N102-M102),AND(ISNUMBER(P102),ISNUMBER(J102),P102&lt;J102),AND(ISNUMBER(P102),ISNUMBER(N102),P102&lt;N102),T102="PERIKSA",U102="PERIKSA",V102="PERIKSA"),"PERIKSA waktu","telaah catatan"))</x:f>
      </x:c>
      <x:c r="X102" s="2" t="str">
        <x:f>IF(AND(A102&lt;&gt;"",W102&lt;&gt;"PERIKSA waktu",ISNUMBER(K102),K102&gt;=0,ISNUMBER(I102),ISNUMBER(J102),J102&gt;=I102),K102,"")</x:f>
      </x:c>
      <x:c r="Y102" s="2" t="str">
        <x:f>IF(AND(A102&lt;&gt;"",W102&lt;&gt;"PERIKSA waktu",ISNUMBER(O102),O102&gt;=0,ISNUMBER(M102),ISNUMBER(N102),N102&gt;=M102),O102,"")</x:f>
      </x:c>
      <x:c r="Z102" s="2" t="str">
        <x:f>IF(AND(A102&lt;&gt;"",W102&lt;&gt;"PERIKSA waktu",ISNUMBER(T102),T102&gt;=0),T102,"")</x:f>
      </x:c>
      <x:c r="AA102" s="2" t="str">
        <x:f>IF(AND(A102&lt;&gt;"",W102&lt;&gt;"PERIKSA waktu",ISNUMBER(U102),U102&gt;=0),U102,"")</x:f>
      </x:c>
      <x:c r="AB102" s="2" t="str">
        <x:f>IF(AND(A102&lt;&gt;"",W102&lt;&gt;"PERIKSA waktu",ISNUMBER(V102),V102&gt;=0),V102,"")</x:f>
      </x:c>
    </x:row>
    <x:row r="103" ht="24" customHeight="1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  <x:c r="T103" s="2" t="str">
        <x:f>IF(A103="","",IF(COUNT(H103,I103)=2,IF(I103&gt;=H103,I103-H103,"PERIKSA"),IF(COUNTA(H103,I103)=2,"PERIKSA","")))</x:f>
      </x:c>
      <x:c r="U103" s="2" t="str">
        <x:f>IF(A103="","",IF(COUNT(L103,M103)=2,IF(M103&gt;=L103,M103-L103,"PERIKSA"),IF(COUNTA(L103,M103)=2,"PERIKSA","")))</x:f>
      </x:c>
      <x:c r="V103" s="2" t="str">
        <x:f>IF(A103="","",IF(COUNT(H103,P103)=2,IF(P103&gt;=H103,P103-H103,"PERIKSA"),IF(COUNTA(H103,P103)=2,"PERIKSA","")))</x:f>
      </x:c>
      <x:c r="W103" s="2" t="str">
        <x:f>IF(A103="","",IF(OR(COUNTA(H103:P103)&lt;&gt;COUNT(H103:P103),MIN(H103:P103)&lt;0,AND(ISNUMBER(I103),ISNUMBER(J103),J103&lt;I103),AND(ISNUMBER(K103),ISNUMBER(I103),ISNUMBER(J103),K103&gt;J103-I103),AND(ISNUMBER(M103),ISNUMBER(N103),N103&lt;M103),AND(ISNUMBER(O103),ISNUMBER(M103),ISNUMBER(N103),O103&gt;N103-M103),AND(ISNUMBER(P103),ISNUMBER(J103),P103&lt;J103),AND(ISNUMBER(P103),ISNUMBER(N103),P103&lt;N103),T103="PERIKSA",U103="PERIKSA",V103="PERIKSA"),"PERIKSA waktu","telaah catatan"))</x:f>
      </x:c>
      <x:c r="X103" s="2" t="str">
        <x:f>IF(AND(A103&lt;&gt;"",W103&lt;&gt;"PERIKSA waktu",ISNUMBER(K103),K103&gt;=0,ISNUMBER(I103),ISNUMBER(J103),J103&gt;=I103),K103,"")</x:f>
      </x:c>
      <x:c r="Y103" s="2" t="str">
        <x:f>IF(AND(A103&lt;&gt;"",W103&lt;&gt;"PERIKSA waktu",ISNUMBER(O103),O103&gt;=0,ISNUMBER(M103),ISNUMBER(N103),N103&gt;=M103),O103,"")</x:f>
      </x:c>
      <x:c r="Z103" s="2" t="str">
        <x:f>IF(AND(A103&lt;&gt;"",W103&lt;&gt;"PERIKSA waktu",ISNUMBER(T103),T103&gt;=0),T103,"")</x:f>
      </x:c>
      <x:c r="AA103" s="2" t="str">
        <x:f>IF(AND(A103&lt;&gt;"",W103&lt;&gt;"PERIKSA waktu",ISNUMBER(U103),U103&gt;=0),U103,"")</x:f>
      </x:c>
      <x:c r="AB103" s="2" t="str">
        <x:f>IF(AND(A103&lt;&gt;"",W103&lt;&gt;"PERIKSA waktu",ISNUMBER(V103),V103&gt;=0),V103,"")</x:f>
      </x:c>
    </x:row>
    <x:row r="104" ht="24" customHeight="1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  <x:c r="T104" s="2" t="str">
        <x:f>IF(A104="","",IF(COUNT(H104,I104)=2,IF(I104&gt;=H104,I104-H104,"PERIKSA"),IF(COUNTA(H104,I104)=2,"PERIKSA","")))</x:f>
      </x:c>
      <x:c r="U104" s="2" t="str">
        <x:f>IF(A104="","",IF(COUNT(L104,M104)=2,IF(M104&gt;=L104,M104-L104,"PERIKSA"),IF(COUNTA(L104,M104)=2,"PERIKSA","")))</x:f>
      </x:c>
      <x:c r="V104" s="2" t="str">
        <x:f>IF(A104="","",IF(COUNT(H104,P104)=2,IF(P104&gt;=H104,P104-H104,"PERIKSA"),IF(COUNTA(H104,P104)=2,"PERIKSA","")))</x:f>
      </x:c>
      <x:c r="W104" s="2" t="str">
        <x:f>IF(A104="","",IF(OR(COUNTA(H104:P104)&lt;&gt;COUNT(H104:P104),MIN(H104:P104)&lt;0,AND(ISNUMBER(I104),ISNUMBER(J104),J104&lt;I104),AND(ISNUMBER(K104),ISNUMBER(I104),ISNUMBER(J104),K104&gt;J104-I104),AND(ISNUMBER(M104),ISNUMBER(N104),N104&lt;M104),AND(ISNUMBER(O104),ISNUMBER(M104),ISNUMBER(N104),O104&gt;N104-M104),AND(ISNUMBER(P104),ISNUMBER(J104),P104&lt;J104),AND(ISNUMBER(P104),ISNUMBER(N104),P104&lt;N104),T104="PERIKSA",U104="PERIKSA",V104="PERIKSA"),"PERIKSA waktu","telaah catatan"))</x:f>
      </x:c>
      <x:c r="X104" s="2" t="str">
        <x:f>IF(AND(A104&lt;&gt;"",W104&lt;&gt;"PERIKSA waktu",ISNUMBER(K104),K104&gt;=0,ISNUMBER(I104),ISNUMBER(J104),J104&gt;=I104),K104,"")</x:f>
      </x:c>
      <x:c r="Y104" s="2" t="str">
        <x:f>IF(AND(A104&lt;&gt;"",W104&lt;&gt;"PERIKSA waktu",ISNUMBER(O104),O104&gt;=0,ISNUMBER(M104),ISNUMBER(N104),N104&gt;=M104),O104,"")</x:f>
      </x:c>
      <x:c r="Z104" s="2" t="str">
        <x:f>IF(AND(A104&lt;&gt;"",W104&lt;&gt;"PERIKSA waktu",ISNUMBER(T104),T104&gt;=0),T104,"")</x:f>
      </x:c>
      <x:c r="AA104" s="2" t="str">
        <x:f>IF(AND(A104&lt;&gt;"",W104&lt;&gt;"PERIKSA waktu",ISNUMBER(U104),U104&gt;=0),U104,"")</x:f>
      </x:c>
      <x:c r="AB104" s="2" t="str">
        <x:f>IF(AND(A104&lt;&gt;"",W104&lt;&gt;"PERIKSA waktu",ISNUMBER(V104),V104&gt;=0),V104,"")</x:f>
      </x:c>
    </x:row>
    <x:row r="105" ht="24" customHeight="1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  <x:c r="T105" s="2" t="str">
        <x:f>IF(A105="","",IF(COUNT(H105,I105)=2,IF(I105&gt;=H105,I105-H105,"PERIKSA"),IF(COUNTA(H105,I105)=2,"PERIKSA","")))</x:f>
      </x:c>
      <x:c r="U105" s="2" t="str">
        <x:f>IF(A105="","",IF(COUNT(L105,M105)=2,IF(M105&gt;=L105,M105-L105,"PERIKSA"),IF(COUNTA(L105,M105)=2,"PERIKSA","")))</x:f>
      </x:c>
      <x:c r="V105" s="2" t="str">
        <x:f>IF(A105="","",IF(COUNT(H105,P105)=2,IF(P105&gt;=H105,P105-H105,"PERIKSA"),IF(COUNTA(H105,P105)=2,"PERIKSA","")))</x:f>
      </x:c>
      <x:c r="W105" s="2" t="str">
        <x:f>IF(A105="","",IF(OR(COUNTA(H105:P105)&lt;&gt;COUNT(H105:P105),MIN(H105:P105)&lt;0,AND(ISNUMBER(I105),ISNUMBER(J105),J105&lt;I105),AND(ISNUMBER(K105),ISNUMBER(I105),ISNUMBER(J105),K105&gt;J105-I105),AND(ISNUMBER(M105),ISNUMBER(N105),N105&lt;M105),AND(ISNUMBER(O105),ISNUMBER(M105),ISNUMBER(N105),O105&gt;N105-M105),AND(ISNUMBER(P105),ISNUMBER(J105),P105&lt;J105),AND(ISNUMBER(P105),ISNUMBER(N105),P105&lt;N105),T105="PERIKSA",U105="PERIKSA",V105="PERIKSA"),"PERIKSA waktu","telaah catatan"))</x:f>
      </x:c>
      <x:c r="X105" s="2" t="str">
        <x:f>IF(AND(A105&lt;&gt;"",W105&lt;&gt;"PERIKSA waktu",ISNUMBER(K105),K105&gt;=0,ISNUMBER(I105),ISNUMBER(J105),J105&gt;=I105),K105,"")</x:f>
      </x:c>
      <x:c r="Y105" s="2" t="str">
        <x:f>IF(AND(A105&lt;&gt;"",W105&lt;&gt;"PERIKSA waktu",ISNUMBER(O105),O105&gt;=0,ISNUMBER(M105),ISNUMBER(N105),N105&gt;=M105),O105,"")</x:f>
      </x:c>
      <x:c r="Z105" s="2" t="str">
        <x:f>IF(AND(A105&lt;&gt;"",W105&lt;&gt;"PERIKSA waktu",ISNUMBER(T105),T105&gt;=0),T105,"")</x:f>
      </x:c>
      <x:c r="AA105" s="2" t="str">
        <x:f>IF(AND(A105&lt;&gt;"",W105&lt;&gt;"PERIKSA waktu",ISNUMBER(U105),U105&gt;=0),U105,"")</x:f>
      </x:c>
      <x:c r="AB105" s="2" t="str">
        <x:f>IF(AND(A105&lt;&gt;"",W105&lt;&gt;"PERIKSA waktu",ISNUMBER(V105),V105&gt;=0),V105,"")</x:f>
      </x:c>
    </x:row>
    <x:row r="106" ht="24" customHeight="1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" t="str">
        <x:f>IF(A106="","",IF(COUNT(H106,I106)=2,IF(I106&gt;=H106,I106-H106,"PERIKSA"),IF(COUNTA(H106,I106)=2,"PERIKSA","")))</x:f>
      </x:c>
      <x:c r="U106" s="2" t="str">
        <x:f>IF(A106="","",IF(COUNT(L106,M106)=2,IF(M106&gt;=L106,M106-L106,"PERIKSA"),IF(COUNTA(L106,M106)=2,"PERIKSA","")))</x:f>
      </x:c>
      <x:c r="V106" s="2" t="str">
        <x:f>IF(A106="","",IF(COUNT(H106,P106)=2,IF(P106&gt;=H106,P106-H106,"PERIKSA"),IF(COUNTA(H106,P106)=2,"PERIKSA","")))</x:f>
      </x:c>
      <x:c r="W106" s="2" t="str">
        <x:f>IF(A106="","",IF(OR(COUNTA(H106:P106)&lt;&gt;COUNT(H106:P106),MIN(H106:P106)&lt;0,AND(ISNUMBER(I106),ISNUMBER(J106),J106&lt;I106),AND(ISNUMBER(K106),ISNUMBER(I106),ISNUMBER(J106),K106&gt;J106-I106),AND(ISNUMBER(M106),ISNUMBER(N106),N106&lt;M106),AND(ISNUMBER(O106),ISNUMBER(M106),ISNUMBER(N106),O106&gt;N106-M106),AND(ISNUMBER(P106),ISNUMBER(J106),P106&lt;J106),AND(ISNUMBER(P106),ISNUMBER(N106),P106&lt;N106),T106="PERIKSA",U106="PERIKSA",V106="PERIKSA"),"PERIKSA waktu","telaah catatan"))</x:f>
      </x:c>
      <x:c r="X106" s="2" t="str">
        <x:f>IF(AND(A106&lt;&gt;"",W106&lt;&gt;"PERIKSA waktu",ISNUMBER(K106),K106&gt;=0,ISNUMBER(I106),ISNUMBER(J106),J106&gt;=I106),K106,"")</x:f>
      </x:c>
      <x:c r="Y106" s="2" t="str">
        <x:f>IF(AND(A106&lt;&gt;"",W106&lt;&gt;"PERIKSA waktu",ISNUMBER(O106),O106&gt;=0,ISNUMBER(M106),ISNUMBER(N106),N106&gt;=M106),O106,"")</x:f>
      </x:c>
      <x:c r="Z106" s="2" t="str">
        <x:f>IF(AND(A106&lt;&gt;"",W106&lt;&gt;"PERIKSA waktu",ISNUMBER(T106),T106&gt;=0),T106,"")</x:f>
      </x:c>
      <x:c r="AA106" s="2" t="str">
        <x:f>IF(AND(A106&lt;&gt;"",W106&lt;&gt;"PERIKSA waktu",ISNUMBER(U106),U106&gt;=0),U106,"")</x:f>
      </x:c>
      <x:c r="AB106" s="2" t="str">
        <x:f>IF(AND(A106&lt;&gt;"",W106&lt;&gt;"PERIKSA waktu",ISNUMBER(V106),V106&gt;=0),V106,"")</x:f>
      </x:c>
    </x:row>
    <x:row r="107" ht="24" customHeight="1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" t="str">
        <x:f>IF(A107="","",IF(COUNT(H107,I107)=2,IF(I107&gt;=H107,I107-H107,"PERIKSA"),IF(COUNTA(H107,I107)=2,"PERIKSA","")))</x:f>
      </x:c>
      <x:c r="U107" s="2" t="str">
        <x:f>IF(A107="","",IF(COUNT(L107,M107)=2,IF(M107&gt;=L107,M107-L107,"PERIKSA"),IF(COUNTA(L107,M107)=2,"PERIKSA","")))</x:f>
      </x:c>
      <x:c r="V107" s="2" t="str">
        <x:f>IF(A107="","",IF(COUNT(H107,P107)=2,IF(P107&gt;=H107,P107-H107,"PERIKSA"),IF(COUNTA(H107,P107)=2,"PERIKSA","")))</x:f>
      </x:c>
      <x:c r="W107" s="2" t="str">
        <x:f>IF(A107="","",IF(OR(COUNTA(H107:P107)&lt;&gt;COUNT(H107:P107),MIN(H107:P107)&lt;0,AND(ISNUMBER(I107),ISNUMBER(J107),J107&lt;I107),AND(ISNUMBER(K107),ISNUMBER(I107),ISNUMBER(J107),K107&gt;J107-I107),AND(ISNUMBER(M107),ISNUMBER(N107),N107&lt;M107),AND(ISNUMBER(O107),ISNUMBER(M107),ISNUMBER(N107),O107&gt;N107-M107),AND(ISNUMBER(P107),ISNUMBER(J107),P107&lt;J107),AND(ISNUMBER(P107),ISNUMBER(N107),P107&lt;N107),T107="PERIKSA",U107="PERIKSA",V107="PERIKSA"),"PERIKSA waktu","telaah catatan"))</x:f>
      </x:c>
      <x:c r="X107" s="2" t="str">
        <x:f>IF(AND(A107&lt;&gt;"",W107&lt;&gt;"PERIKSA waktu",ISNUMBER(K107),K107&gt;=0,ISNUMBER(I107),ISNUMBER(J107),J107&gt;=I107),K107,"")</x:f>
      </x:c>
      <x:c r="Y107" s="2" t="str">
        <x:f>IF(AND(A107&lt;&gt;"",W107&lt;&gt;"PERIKSA waktu",ISNUMBER(O107),O107&gt;=0,ISNUMBER(M107),ISNUMBER(N107),N107&gt;=M107),O107,"")</x:f>
      </x:c>
      <x:c r="Z107" s="2" t="str">
        <x:f>IF(AND(A107&lt;&gt;"",W107&lt;&gt;"PERIKSA waktu",ISNUMBER(T107),T107&gt;=0),T107,"")</x:f>
      </x:c>
      <x:c r="AA107" s="2" t="str">
        <x:f>IF(AND(A107&lt;&gt;"",W107&lt;&gt;"PERIKSA waktu",ISNUMBER(U107),U107&gt;=0),U107,"")</x:f>
      </x:c>
      <x:c r="AB107" s="2" t="str">
        <x:f>IF(AND(A107&lt;&gt;"",W107&lt;&gt;"PERIKSA waktu",ISNUMBER(V107),V107&gt;=0),V107,"")</x:f>
      </x:c>
    </x:row>
    <x:row r="108" ht="24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</x:row>
    <x:row r="109" ht="24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</x:row>
    <x:row r="110" ht="46" customHeight="1">
      <x:c r="A110" s="8" t="str">
        <x:v>Ukuran sampel</x:v>
      </x:c>
      <x:c r="B110" s="8" t="str">
        <x:v>Jumlah terukur</x:v>
      </x:c>
      <x:c r="C110" s="8" t="str">
        <x:v>Rata-rata detik</x:v>
      </x:c>
      <x:c r="D110" s="8" t="str">
        <x:v>P95 detik</x:v>
      </x:c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</x:row>
    <x:row r="111" ht="24" customHeight="1">
      <x:c r="A111" s="2" t="str">
        <x:v>Terpakai standar</x:v>
      </x:c>
      <x:c r="B111" s="2" t="n">
        <x:f>COUNT(X8:X107)</x:f>
        <x:v>0</x:v>
      </x:c>
      <x:c r="C111" s="2" t="str">
        <x:f>IF(B111=0,"belum diukur",AVERAGE(X8:X107))</x:f>
        <x:v>belum diukur</x:v>
      </x:c>
      <x:c r="D111" s="2" t="str">
        <x:f>IF(B111=0,"belum diukur",LARGE(X8:X107,INT(1+(B111-1)*0.05))+MOD((B111-1)*0.05,1)*(LARGE(X8:X107,MIN(B111,INT(1+(B111-1)*0.05)+1))-LARGE(X8:X107,INT(1+(B111-1)*0.05))))</x:f>
        <x:v>belum diukur</x:v>
      </x:c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</x:row>
    <x:row r="112" ht="24" customHeight="1">
      <x:c r="A112" s="2" t="str">
        <x:v>Terpakai exception</x:v>
      </x:c>
      <x:c r="B112" s="2" t="n">
        <x:f>COUNT(Y8:Y107)</x:f>
        <x:v>0</x:v>
      </x:c>
      <x:c r="C112" s="2" t="str">
        <x:f>IF(B112=0,"belum diukur",AVERAGE(Y8:Y107))</x:f>
        <x:v>belum diukur</x:v>
      </x:c>
      <x:c r="D112" s="2" t="str">
        <x:f>IF(B112=0,"belum diukur",LARGE(Y8:Y107,INT(1+(B112-1)*0.05))+MOD((B112-1)*0.05,1)*(LARGE(Y8:Y107,MIN(B112,INT(1+(B112-1)*0.05)+1))-LARGE(Y8:Y107,INT(1+(B112-1)*0.05))))</x:f>
        <x:v>belum diukur</x:v>
      </x:c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</x:row>
    <x:row r="113" ht="24" customHeight="1">
      <x:c r="A113" s="2" t="str">
        <x:v>Pra-layanan</x:v>
      </x:c>
      <x:c r="B113" s="2" t="n">
        <x:f>COUNT(Z8:Z107)</x:f>
        <x:v>0</x:v>
      </x:c>
      <x:c r="C113" s="2" t="str">
        <x:f>IF(B113=0,"belum diukur",AVERAGE(Z8:Z107))</x:f>
        <x:v>belum diukur</x:v>
      </x:c>
      <x:c r="D113" s="2" t="str">
        <x:f>IF(B113=0,"belum diukur",LARGE(Z8:Z107,INT(1+(B113-1)*0.05))+MOD((B113-1)*0.05,1)*(LARGE(Z8:Z107,MIN(B113,INT(1+(B113-1)*0.05)+1))-LARGE(Z8:Z107,INT(1+(B113-1)*0.05))))</x:f>
        <x:v>belum diukur</x:v>
      </x:c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</x:row>
    <x:row r="114" ht="24" customHeight="1">
      <x:c r="A114" s="2" t="str">
        <x:v>Tunggu exception</x:v>
      </x:c>
      <x:c r="B114" s="2" t="n">
        <x:f>COUNT(AA8:AA107)</x:f>
        <x:v>0</x:v>
      </x:c>
      <x:c r="C114" s="2" t="str">
        <x:f>IF(B114=0,"belum diukur",AVERAGE(AA8:AA107))</x:f>
        <x:v>belum diukur</x:v>
      </x:c>
      <x:c r="D114" s="2" t="str">
        <x:f>IF(B114=0,"belum diukur",LARGE(AA8:AA107,INT(1+(B114-1)*0.05))+MOD((B114-1)*0.05,1)*(LARGE(AA8:AA107,MIN(B114,INT(1+(B114-1)*0.05)+1))-LARGE(AA8:AA107,INT(1+(B114-1)*0.05))))</x:f>
        <x:v>belum diukur</x:v>
      </x:c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</x:row>
    <x:row r="115" ht="24" customHeight="1">
      <x:c r="A115" s="2" t="str">
        <x:v>Tiba ke keluar</x:v>
      </x:c>
      <x:c r="B115" s="2" t="n">
        <x:f>COUNT(AB8:AB107)</x:f>
        <x:v>0</x:v>
      </x:c>
      <x:c r="C115" s="2" t="str">
        <x:f>IF(B115=0,"belum diukur",AVERAGE(AB8:AB107))</x:f>
        <x:v>belum diukur</x:v>
      </x:c>
      <x:c r="D115" s="2" t="str">
        <x:f>IF(B115=0,"belum diukur",LARGE(AB8:AB107,INT(1+(B115-1)*0.05))+MOD((B115-1)*0.05,1)*(LARGE(AB8:AB107,MIN(B115,INT(1+(B115-1)*0.05)+1))-LARGE(AB8:AB107,INT(1+(B115-1)*0.05))))</x:f>
        <x:v>belum diukur</x:v>
      </x:c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</x:row>
    <x:row r="116" ht="24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</x:row>
    <x:row r="117" ht="24" customHeight="1">
      <x:c r="A117" s="4" t="str">
        <x:v>Log H adalah tiba di area/antrean: V = waktu sejak kedatangan, bukan okupansi ruang. Catat masuk ruang terpisah pada lembar observasi.</x:v>
      </x:c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</x:row>
    <x:row r="118" ht="24" customHeight="1">
      <x:c r="A118" s="4" t="str">
        <x:v>Kolom X:AB memisahkan pengukuran numerik yang lolos cek dasar; audit manual masih perlu. Record bertanda PERIKSA dikeluarkan.</x:v>
      </x:c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</x:row>
    <x:row r="119" ht="24" customHeight="1">
      <x:c r="A119" s="4" t="str">
        <x:v>Tunggu eksternal dikeluarkan dari waktu terpakai hanya bila operator bebas. Nilai pending tetap kosong, bukan nol.</x:v>
      </x:c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</x:row>
    <x:row r="120" ht="24" customHeight="1">
      <x:c r="A120" s="4" t="str">
        <x:v>Ringkasan gabungan tidak mengganti analisis per kategori/run. Maksimal 100 baris; lanjutkan log baru untuk sesi berikutnya.</x:v>
      </x:c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</x:row>
    <x:row r="121" ht="24" customHeight="1">
      <x:c r="A121" s="4" t="str">
        <x:v>P95 memakai interpolasi persentil inklusif atas pengukuran numerik yang lolos cek dasar. Sampel kecil tetap eksploratif.</x:v>
      </x:c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</x:row>
  </x:sheetData>
  <x:conditionalFormatting sqref="T8:W107">
    <x:cfRule type="containsText" dxfId="8" priority="1" operator="containsText" text="PERIKSA"/>
    <x:cfRule type="containsText" dxfId="9" priority="2" operator="containsText" text="n.a."/>
  </x:conditionalFormatting>
  <x:dataValidations count="4">
    <x:dataValidation type="list" sqref="C8:C107">
      <x:formula1>"Delegate,Journalist,Parent terdaftar"</x:formula1>
    </x:dataValidation>
    <x:dataValidation type="list" sqref="D8:D107">
      <x:formula1>"Full accommodation,Non accommodation"</x:formula1>
    </x:dataValidation>
    <x:dataValidation type="list" sqref="F8:F107">
      <x:formula1>"U+1 tetap,Universal,Adaptif"</x:formula1>
    </x:dataValidation>
    <x:dataValidation type="list" sqref="Q8:Q107">
      <x:formula1>"Selesai,Exception terbuka,Kunci tertunda,Tidak selesai"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54" hidden="0" customWidth="1"/>
    <x:col min="3" max="3" width="67" hidden="0" customWidth="1"/>
    <x:col min="4" max="4" width="31" hidden="0" customWidth="1"/>
    <x:col min="5" max="5" width="55" hidden="0" customWidth="1"/>
    <x:col min="6" max="6" width="69" hidden="0" customWidth="1"/>
    <x:col min="7" max="7" width="20" hidden="0" customWidth="1"/>
    <x:col min="8" max="8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Audit aritmetika yang digunakan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A01 sampai A26 merujuk audit yang sama pada dokumen. Klaim historis ini bukan hasil input aktif.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46" customHeight="1">
      <x:c r="A5" s="8" t="str">
        <x:v>ID</x:v>
      </x:c>
      <x:c r="B5" s="8" t="str">
        <x:v>Klaim atau input lama</x:v>
      </x:c>
      <x:c r="C5" s="8" t="str">
        <x:v>Hasil hitung ulang</x:v>
      </x:c>
      <x:c r="D5" s="8" t="str">
        <x:v>Penilaian</x:v>
      </x:c>
      <x:c r="E5" s="8" t="str">
        <x:v>Dasar hitung</x:v>
      </x:c>
      <x:c r="F5" s="8" t="str">
        <x:v>Batas penggunaan</x:v>
      </x:c>
      <x:c r="G5" s="8" t="str">
        <x:v>Sumber</x:v>
      </x:c>
      <x:c r="H5" s="2"/>
    </x:row>
    <x:row r="6" ht="115" customHeight="1">
      <x:c r="A6" s="9" t="str">
        <x:v>A01</x:v>
      </x:c>
      <x:c r="B6" s="9" t="str">
        <x:v>720 record dalam 7 jam; kebutuhan rata-rata</x:v>
      </x:c>
      <x:c r="C6" s="9" t="str">
        <x:v>102,857/jam; 25,714/15 menit; 20,571/meja/jam bila 5 aktif</x:v>
      </x:c>
      <x:c r="D6" s="9" t="str">
        <x:v>Benar setelah pembulatan</x:v>
      </x:c>
      <x:c r="E6" s="9" t="str">
        <x:v>720/7; 720/28; 720/35</x:v>
      </x:c>
      <x:c r="F6" s="9" t="str">
        <x:v>720 record perlu dikonfirmasi; rata-rata bukan profil kedatangan.</x:v>
      </x:c>
      <x:c r="G6" s="9" t="str">
        <x:v>S2 terbaru</x:v>
      </x:c>
      <x:c r="H6" s="2"/>
    </x:row>
    <x:row r="7" ht="115" customHeight="1">
      <x:c r="A7" s="9" t="str">
        <x:v>A02</x:v>
      </x:c>
      <x:c r="B7" s="9" t="str">
        <x:v>Lima meja; layanan 60–90 detik</x:v>
      </x:c>
      <x:c r="C7" s="9" t="str">
        <x:v>60 detik → 300/jam; 90 detik → 200/jam</x:v>
      </x:c>
      <x:c r="D7" s="9" t="str">
        <x:v>Aritmetika benar</x:v>
      </x:c>
      <x:c r="E7" s="9" t="str">
        <x:v>5 × 3.600 / s</x:v>
      </x:c>
      <x:c r="F7" s="9" t="str">
        <x:v>Kapasitas tahap standar; belum memasukkan tambahan exception atau gangguan.</x:v>
      </x:c>
      <x:c r="G7" s="9" t="str">
        <x:v>S1</x:v>
      </x:c>
      <x:c r="H7" s="2"/>
    </x:row>
    <x:row r="8" ht="115" customHeight="1">
      <x:c r="A8" s="9" t="str">
        <x:v>A03</x:v>
      </x:c>
      <x:c r="B8" s="9" t="str">
        <x:v>Standar 75 detik; 3–6 operator</x:v>
      </x:c>
      <x:c r="C8" s="9" t="str">
        <x:v>3/4/5/6 operator: 144/192/240/288 per jam; utilisasi pada 103/jam: 71,53%/53,65%/42,92%/35,76%</x:v>
      </x:c>
      <x:c r="D8" s="9" t="str">
        <x:v>Benar setelah pembulatan</x:v>
      </x:c>
      <x:c r="E8" s="9" t="str">
        <x:v>C=3.600c/75; utilisasi=103/C</x:v>
      </x:c>
      <x:c r="F8" s="9" t="str">
        <x:v>Operator aktif, bukan jumlah meja; belum termasuk exception.</x:v>
      </x:c>
      <x:c r="G8" s="9" t="str">
        <x:v>S2 terbaru</x:v>
      </x:c>
      <x:c r="H8" s="2"/>
    </x:row>
    <x:row r="9" ht="115" customHeight="1">
      <x:c r="A9" s="9" t="str">
        <x:v>A04</x:v>
      </x:c>
      <x:c r="B9" s="9" t="str">
        <x:v>Mix lama: 60% akomodasi; 10% parent</x:v>
      </x:c>
      <x:c r="C9" s="9" t="str">
        <x:v>432 akomodasi; 72 parent; 648 delegate/journalist</x:v>
      </x:c>
      <x:c r="D9" s="9" t="str">
        <x:v>Benar; baseline lama dihentikan</x:v>
      </x:c>
      <x:c r="E9" s="9" t="str">
        <x:v>720×60%; 720×10%; 720×90%</x:v>
      </x:c>
      <x:c r="F9" s="9" t="str">
        <x:v>Persentase bukan data aktual. Akomodasi dan kategori peserta saling beririsan.</x:v>
      </x:c>
      <x:c r="G9" s="9" t="str">
        <x:v>S2 awal</x:v>
      </x:c>
      <x:c r="H9" s="2"/>
    </x:row>
    <x:row r="10" ht="115" customHeight="1">
      <x:c r="A10" s="9" t="str">
        <x:v>A05</x:v>
      </x:c>
      <x:c r="B10" s="9" t="str">
        <x:v>Model lama 3 council + 1 parent + 2 kamar</x:v>
      </x:c>
      <x:c r="C10" s="9" t="str">
        <x:v>Batas sistem 100/jam; N/C=7,2 jam</x:v>
      </x:c>
      <x:c r="D10" s="9" t="str">
        <x:v>Benar pada asumsi lama</x:v>
      </x:c>
      <x:c r="E10" s="9" t="str">
        <x:v>MIN(180/0,9; 60/0,1; 60/0,6)</x:v>
      </x:c>
      <x:c r="F10" s="9" t="str">
        <x:v>Asumsi kamar 120 detik/orang dan 60% akomodasi; bukan baseline terbaru.</x:v>
      </x:c>
      <x:c r="G10" s="9" t="str">
        <x:v>S2 awal</x:v>
      </x:c>
      <x:c r="H10" s="2"/>
    </x:row>
    <x:row r="11" ht="115" customHeight="1">
      <x:c r="A11" s="9" t="str">
        <x:v>A06</x:v>
      </x:c>
      <x:c r="B11" s="9" t="str">
        <x:v>Model lama 3 full + 3 non-accommodation</x:v>
      </x:c>
      <x:c r="C11" s="9" t="str">
        <x:v>Batas sistem 100/jam; N/C=7,2 jam</x:v>
      </x:c>
      <x:c r="D11" s="9" t="str">
        <x:v>Benar pada asumsi lama</x:v>
      </x:c>
      <x:c r="E11" s="9" t="str">
        <x:v>MIN((3×3.600/180)/0,6; (3×3.600/60)/0,4)</x:v>
      </x:c>
      <x:c r="F11" s="9" t="str">
        <x:v>60% full; layanan 180/60 detik. N/C bukan prediksi selesai.</x:v>
      </x:c>
      <x:c r="G11" s="9" t="str">
        <x:v>S2 awal</x:v>
      </x:c>
      <x:c r="H11" s="2"/>
    </x:row>
    <x:row r="12" ht="115" customHeight="1">
      <x:c r="A12" s="9" t="str">
        <x:v>A07</x:v>
      </x:c>
      <x:c r="B12" s="9" t="str">
        <x:v>Model lama 4 universal + 2 kamar</x:v>
      </x:c>
      <x:c r="C12" s="9" t="str">
        <x:v>Standar 240/jam; kamar 60/jam; sistem 100/jam</x:v>
      </x:c>
      <x:c r="D12" s="9" t="str">
        <x:v>Benar pada asumsi lama</x:v>
      </x:c>
      <x:c r="E12" s="9" t="str">
        <x:v>MIN(240; 60/0,6)</x:v>
      </x:c>
      <x:c r="F12" s="9" t="str">
        <x:v>Pekerjaan kamar tambahan 120 detik dan mix 60% belum terbukti.</x:v>
      </x:c>
      <x:c r="G12" s="9" t="str">
        <x:v>S2 awal</x:v>
      </x:c>
      <x:c r="H12" s="2"/>
    </x:row>
    <x:row r="13" ht="115" customHeight="1">
      <x:c r="A13" s="9" t="str">
        <x:v>A08</x:v>
      </x:c>
      <x:c r="B13" s="9" t="str">
        <x:v>Model lama 6 universal; share beban full</x:v>
      </x:c>
      <x:c r="C13" s="9" t="str">
        <x:v>163,636/jam; N/C=4,4 jam; beban full 81,818%</x:v>
      </x:c>
      <x:c r="D13" s="9" t="str">
        <x:v>Benar setelah pembulatan</x:v>
      </x:c>
      <x:c r="E13" s="9" t="str">
        <x:v>21.600/132; 720/C; (0,6×180)/132</x:v>
      </x:c>
      <x:c r="F13" s="9" t="str">
        <x:v>Mean 132 detik berasal dari asumsi lama; bukan input saat ini.</x:v>
      </x:c>
      <x:c r="G13" s="9" t="str">
        <x:v>S2 awal</x:v>
      </x:c>
      <x:c r="H13" s="2"/>
    </x:row>
    <x:row r="14" ht="115" customHeight="1">
      <x:c r="A14" s="9" t="str">
        <x:v>A09</x:v>
      </x:c>
      <x:c r="B14" s="9" t="str">
        <x:v>Dua meja kamar; 120 detik untuk dua tamu</x:v>
      </x:c>
      <x:c r="C14" s="9" t="str">
        <x:v>60 kamar/jam; 120 tamu/jam</x:v>
      </x:c>
      <x:c r="D14" s="9" t="str">
        <x:v>Benar bersyarat</x:v>
      </x:c>
      <x:c r="E14" s="9" t="str">
        <x:v>2×3.600/120; hasil×2 tamu</x:v>
      </x:c>
      <x:c r="F14" s="9" t="str">
        <x:v>Hanya valid bila hotel mengizinkan dan pemeriksaan individu tetap dipenuhi.</x:v>
      </x:c>
      <x:c r="G14" s="9" t="str">
        <x:v>S2 awal</x:v>
      </x:c>
      <x:c r="H14" s="2"/>
    </x:row>
    <x:row r="15" ht="115" customHeight="1">
      <x:c r="A15" s="9" t="str">
        <x:v>A10</x:v>
      </x:c>
      <x:c r="B15" s="9" t="str">
        <x:v>Normal 63 detik; 5 normal + 1 exception</x:v>
      </x:c>
      <x:c r="C15" s="9" t="str">
        <x:v>Normal 285,714/jam; exception 12/jam; batas total 240/jam; N/C=3 jam</x:v>
      </x:c>
      <x:c r="D15" s="9" t="str">
        <x:v>Benar pada asumsi lama</x:v>
      </x:c>
      <x:c r="E15" s="9" t="str">
        <x:v>s=0,6×75+0,4×45; MIN((18.000/63)/0,95; 12/0,05)</x:v>
      </x:c>
      <x:c r="F15" s="9" t="str">
        <x:v>300 detik dahulu TOTAL check-in exception, bukan tambahan. Baseline dihentikan.</x:v>
      </x:c>
      <x:c r="G15" s="9" t="str">
        <x:v>S2 awal</x:v>
      </x:c>
      <x:c r="H15" s="2"/>
    </x:row>
    <x:row r="16" ht="115" customHeight="1">
      <x:c r="A16" s="9" t="str">
        <x:v>A11</x:v>
      </x:c>
      <x:c r="B16" s="9" t="str">
        <x:v>Model lama 6 pooled; exception TOTAL 300 detik</x:v>
      </x:c>
      <x:c r="C16" s="9" t="str">
        <x:v>Mean 74,85 detik; 288,577/jam; N/C=2,495 jam</x:v>
      </x:c>
      <x:c r="D16" s="9" t="str">
        <x:v>Benar pada model lama</x:v>
      </x:c>
      <x:c r="E16" s="9" t="str">
        <x:v>21.600/(0,95×63+0,05×300)</x:v>
      </x:c>
      <x:c r="F16" s="9" t="str">
        <x:v>Jangan bandingkan langsung dengan model 75+300p detik terbaru.</x:v>
      </x:c>
      <x:c r="G16" s="9" t="str">
        <x:v>S2 awal</x:v>
      </x:c>
      <x:c r="H16" s="2"/>
    </x:row>
    <x:row r="17" ht="115" customHeight="1">
      <x:c r="A17" s="9" t="str">
        <x:v>A12</x:v>
      </x:c>
      <x:c r="B17" s="9" t="str">
        <x:v>9 exception/jam; 300 detik; 1 versus 2 operator</x:v>
      </x:c>
      <x:c r="C17" s="9" t="str">
        <x:v>1 operator: utilisasi 75%, mean wait 15 menit. 2: 37,5%, mean wait 0,818 menit</x:v>
      </x:c>
      <x:c r="D17" s="9" t="str">
        <x:v>Benar setelah pembulatan</x:v>
      </x:c>
      <x:c r="E17" s="9" t="str">
        <x:v>M/M/1 dan M/M/2; μ=12 kasus/jam</x:v>
      </x:c>
      <x:c r="F17" s="9" t="str">
        <x:v>Model stasioner; bukan prediksi pergantian meja adaptif atau tunggu hotel.</x:v>
      </x:c>
      <x:c r="G17" s="9" t="str">
        <x:v>S2 awal</x:v>
      </x:c>
      <x:c r="H17" s="2"/>
    </x:row>
    <x:row r="18" ht="115" customHeight="1">
      <x:c r="A18" s="9" t="str">
        <x:v>A13</x:v>
      </x:c>
      <x:c r="B18" s="9" t="str">
        <x:v>Model lama 180/jam; 5% exception</x:v>
      </x:c>
      <x:c r="C18" s="9" t="str">
        <x:v>171 normal + 9 exception/jam; empat meja normal 228,571/jam</x:v>
      </x:c>
      <x:c r="D18" s="9" t="str">
        <x:v>Benar pada asumsi lama</x:v>
      </x:c>
      <x:c r="E18" s="9" t="str">
        <x:v>180×0,95; 180×0,05; 14.400/63</x:v>
      </x:c>
      <x:c r="F18" s="9" t="str">
        <x:v>Model terbaru memberi setiap record pekerjaan standar; jangan buang 5% dari beban standar.</x:v>
      </x:c>
      <x:c r="G18" s="9" t="str">
        <x:v>S2 awal</x:v>
      </x:c>
      <x:c r="H18" s="2"/>
    </x:row>
    <x:row r="19" ht="115" customHeight="1">
      <x:c r="A19" s="9" t="str">
        <x:v>A14</x:v>
      </x:c>
      <x:c r="B19" s="9" t="str">
        <x:v>45 per 15 menit; 16 slot; buffer 30–45 menit</x:v>
      </x:c>
      <x:c r="C19" s="9" t="str">
        <x:v>180/jam; 16 slot=4 jam; buffer belum tervalidasi</x:v>
      </x:c>
      <x:c r="D19" s="9" t="str">
        <x:v>Aritmetika benar; jadwal belum disahkan</x:v>
      </x:c>
      <x:c r="E19" s="9" t="str">
        <x:v>720/45=16; 16×15=240 menit</x:v>
      </x:c>
      <x:c r="F19" s="9" t="str">
        <x:v>Jendela registrasi 7 jam tidak otomatis memerlukan slot 4 jam atau buffer tersebut.</x:v>
      </x:c>
      <x:c r="G19" s="9" t="str">
        <x:v>S2 awal</x:v>
      </x:c>
      <x:c r="H19" s="2"/>
    </x:row>
    <x:row r="20" ht="115" customHeight="1">
      <x:c r="A20" s="9" t="str">
        <x:v>A15</x:v>
      </x:c>
      <x:c r="B20" s="9" t="str">
        <x:v>240 datang selama 30 menit; selesai 180/jam</x:v>
      </x:c>
      <x:c r="C20" s="9" t="str">
        <x:v>90 selesai; 150 record belum selesai</x:v>
      </x:c>
      <x:c r="D20" s="9" t="str">
        <x:v>Benar bersyarat</x:v>
      </x:c>
      <x:c r="E20" s="9" t="str">
        <x:v>240−180×0,5=150</x:v>
      </x:c>
      <x:c r="F20" s="9" t="str">
        <x:v>Mengandaikan throughput aktual terus tercapai; backlog record bukan okupansi orang.</x:v>
      </x:c>
      <x:c r="G20" s="9" t="str">
        <x:v>S2 awal</x:v>
      </x:c>
      <x:c r="H20" s="2"/>
    </x:row>
    <x:row r="21" ht="115" customHeight="1">
      <x:c r="A21" s="9" t="str">
        <x:v>A16</x:v>
      </x:c>
      <x:c r="B21" s="9" t="str">
        <x:v>Ambang contoh 90 orang; 11 staf</x:v>
      </x:c>
      <x:c r="C21" s="9" t="str">
        <x:v>79 tempat untuk orang lain pada contoh tersebut</x:v>
      </x:c>
      <x:c r="D21" s="9" t="str">
        <x:v>Aritmetika benar; belum disetujui</x:v>
      </x:c>
      <x:c r="E21" s="9" t="str">
        <x:v>90−11=79</x:v>
      </x:c>
      <x:c r="F21" s="9" t="str">
        <x:v>90 bukan limit resmi; 11 bukan staf terkonfirmasi; jangan dijadikan aturan masuk.</x:v>
      </x:c>
      <x:c r="G21" s="9" t="str">
        <x:v>S2 awal</x:v>
      </x:c>
      <x:c r="H21" s="2"/>
    </x:row>
    <x:row r="22" ht="115" customHeight="1">
      <x:c r="A22" s="9" t="str">
        <x:v>A17</x:v>
      </x:c>
      <x:c r="B22" s="9" t="str">
        <x:v>Satu petugas: kit 20/30 detik; screening 45 detik</x:v>
      </x:c>
      <x:c r="C22" s="9" t="str">
        <x:v>20/30/45 detik → 180/120/80 transaksi per jam</x:v>
      </x:c>
      <x:c r="D22" s="9" t="str">
        <x:v>Aritmetika benar</x:v>
      </x:c>
      <x:c r="E22" s="9" t="str">
        <x:v>3.600 / detik per transaksi</x:v>
      </x:c>
      <x:c r="F22" s="9" t="str">
        <x:v>20 detik dari analisis awal. Periksa cakupan, kerja paralel dan penghitungan ganda.</x:v>
      </x:c>
      <x:c r="G22" s="9" t="str">
        <x:v>S2 terbaru</x:v>
      </x:c>
      <x:c r="H22" s="2"/>
    </x:row>
    <x:row r="23" ht="115" customHeight="1">
      <x:c r="A23" s="9" t="str">
        <x:v>A18</x:v>
      </x:c>
      <x:c r="B23" s="9" t="str">
        <x:v>Erlang C; standar 75 detik; 4 dan 5 meja</x:v>
      </x:c>
      <x:c r="C23" s="9" t="str">
        <x:v>λ=103/150/180/210/240: mean 4=0,143/0,804/4,325/TS/TS; mean 5=0,034/0,179/0,462/1,415/TS; p95(5)=0,188/1,120/2,223/5,300/TS menit</x:v>
      </x:c>
      <x:c r="D23" s="9" t="str">
        <x:v>Tabel sebelumnya benar</x:v>
      </x:c>
      <x:c r="E23" s="9" t="str">
        <x:v>Erlang C; p95=max(0; 60×ln(C/0,05)/(cμ−λ))</x:v>
      </x:c>
      <x:c r="F23" s="9" t="str">
        <x:v>TS=tidak stabil. P95 unconditional termasuk tunggu nol; standar saja, bukan ujung-ke-ujung.</x:v>
      </x:c>
      <x:c r="G23" s="9" t="str">
        <x:v>S2 terbaru</x:v>
      </x:c>
      <x:c r="H23" s="2"/>
    </x:row>
    <x:row r="24" ht="115" customHeight="1">
      <x:c r="A24" s="9" t="str">
        <x:v>A19</x:v>
      </x:c>
      <x:c r="B24" s="9" t="str">
        <x:v>180/jam; 5 meja; mean standar 90 detik</x:v>
      </x:c>
      <x:c r="C24" s="9" t="str">
        <x:v>Mean wait 2,287480 menit; p95 8,173712 menit</x:v>
      </x:c>
      <x:c r="D24" s="9" t="str">
        <x:v>Benar setelah pembulatan</x:v>
      </x:c>
      <x:c r="E24" s="9" t="str">
        <x:v>M/M/5; μ=40/jam</x:v>
      </x:c>
      <x:c r="F24" s="9" t="str">
        <x:v>Empat meja hanya 160/jam dan tidak stabil pada demand 180/jam.</x:v>
      </x:c>
      <x:c r="G24" s="9" t="str">
        <x:v>S2 terbaru</x:v>
      </x:c>
      <x:c r="H24" s="2"/>
    </x:row>
    <x:row r="25" ht="115" customHeight="1">
      <x:c r="A25" s="9" t="str">
        <x:v>A20</x:v>
      </x:c>
      <x:c r="B25" s="9" t="str">
        <x:v>Exception 5%/10% pada demand rata-rata</x:v>
      </x:c>
      <x:c r="C25" s="9" t="str">
        <x:v>λ total=720/7: mean wait 3,75/30 menit. Jika input tepat 103: 3,759124/30,294118 menit</x:v>
      </x:c>
      <x:c r="D25" s="9" t="str">
        <x:v>Benar memakai λ tidak dibulatkan</x:v>
      </x:c>
      <x:c r="E25" s="9" t="str">
        <x:v>M/M/1; λE=(720/7)×p; μ=12/jam</x:v>
      </x:c>
      <x:c r="F25" s="9" t="str">
        <x:v>Jangan menghitung dari 5,1 atau 10,3 yang sudah dibulatkan; tambahan layanan belum termasuk.</x:v>
      </x:c>
      <x:c r="G25" s="9" t="str">
        <x:v>S2 terbaru</x:v>
      </x:c>
      <x:c r="H25" s="2"/>
    </x:row>
    <x:row r="26" ht="115" customHeight="1">
      <x:c r="A26" s="9" t="str">
        <x:v>A21</x:v>
      </x:c>
      <x:c r="B26" s="9" t="str">
        <x:v>180/210 per jam; exception 5%; satu resolver</x:v>
      </x:c>
      <x:c r="C26" s="9" t="str">
        <x:v>9/10,5 kasus per jam; mean wait 15/35 menit</x:v>
      </x:c>
      <x:c r="D26" s="9" t="str">
        <x:v>Aritmetika benar</x:v>
      </x:c>
      <x:c r="E26" s="9" t="str">
        <x:v>M/M/1; μ=12/jam; Wq=60ρ/(μ−λE)</x:v>
      </x:c>
      <x:c r="F26" s="9" t="str">
        <x:v>Menunggu sebelum tambahan layanan 5 menit; tidak termasuk tahap standar atau tunggu eksternal.</x:v>
      </x:c>
      <x:c r="G26" s="9" t="str">
        <x:v>S2 terbaru</x:v>
      </x:c>
      <x:c r="H26" s="2"/>
    </x:row>
    <x:row r="27" ht="115" customHeight="1">
      <x:c r="A27" s="9" t="str">
        <x:v>A22</x:v>
      </x:c>
      <x:c r="B27" s="9" t="str">
        <x:v>Kapasitas adil: s75 + tambahan e300; p5%/10%</x:v>
      </x:c>
      <x:c r="C27" s="9" t="str">
        <x:v>5+1: 240/120 per jam; 4+2: 192/192; 6 pooled: 240/205,714</x:v>
      </x:c>
      <x:c r="D27" s="9" t="str">
        <x:v>Benar setelah pembulatan</x:v>
      </x:c>
      <x:c r="E27" s="9" t="str">
        <x:v>Tetap: MIN(3.600cU/s;3.600cE/(pe)); pooled:21.600/(s+pe)</x:v>
      </x:c>
      <x:c r="F27" s="9" t="str">
        <x:v>Enam operator aktif total; kemampuan/otoritas dan dukungan setara harus dibuktikan.</x:v>
      </x:c>
      <x:c r="G27" s="9" t="str">
        <x:v>S2 terbaru</x:v>
      </x:c>
      <x:c r="H27" s="2"/>
    </x:row>
    <x:row r="28" ht="115" customHeight="1">
      <x:c r="A28" s="9" t="str">
        <x:v>A23</x:v>
      </x:c>
      <x:c r="B28" s="9" t="str">
        <x:v>Pooled 6; s75; p5%; tambahan e300</x:v>
      </x:c>
      <x:c r="C28" s="9" t="str">
        <x:v>Mean 90 detik; kapasitas 240/jam. Angka 288/jam melebihkan 20%.</x:v>
      </x:c>
      <x:c r="D28" s="9" t="str">
        <x:v>Aritmetika benar</x:v>
      </x:c>
      <x:c r="E28" s="9" t="str">
        <x:v>75+0,05×300=90; 21.600/90</x:v>
      </x:c>
      <x:c r="F28" s="9" t="str">
        <x:v>288/jam hanya tahap standar tanpa pekerjaan tambahan exception.</x:v>
      </x:c>
      <x:c r="G28" s="9" t="str">
        <x:v>S2 terbaru</x:v>
      </x:c>
      <x:c r="H28" s="2"/>
    </x:row>
    <x:row r="29" ht="115" customHeight="1">
      <x:c r="A29" s="9" t="str">
        <x:v>A24</x:v>
      </x:c>
      <x:c r="B29" s="9" t="str">
        <x:v>50 peserta + 50 pendamping + 10 staf</x:v>
      </x:c>
      <x:c r="C29" s="9" t="str">
        <x:v>110 orang secara fisik; 50 record peserta pada contoh</x:v>
      </x:c>
      <x:c r="D29" s="9" t="str">
        <x:v>Ilustrasi hitungan benar</x:v>
      </x:c>
      <x:c r="E29" s="9" t="str">
        <x:v>50+50+10=110</x:v>
      </x:c>
      <x:c r="F29" s="9" t="str">
        <x:v>Bukan bukti izin pendamping, 10 staf tersedia, atau limit okupansi resmi.</x:v>
      </x:c>
      <x:c r="G29" s="9" t="str">
        <x:v>S2 terbaru</x:v>
      </x:c>
      <x:c r="H29" s="2"/>
    </x:row>
    <x:row r="30" ht="115" customHeight="1">
      <x:c r="A30" s="9" t="str">
        <x:v>A25</x:v>
      </x:c>
      <x:c r="B30" s="9" t="str">
        <x:v>180 masuk/jam; tambahan tinggal 10 menit</x:v>
      </x:c>
      <x:c r="C30" s="9" t="str">
        <x:v>Tambahan rata-rata 30 peserta; 60 orang bila masing-masing ditemani satu orang</x:v>
      </x:c>
      <x:c r="D30" s="9" t="str">
        <x:v>Ilustrasi hitungan benar</x:v>
      </x:c>
      <x:c r="E30" s="9" t="str">
        <x:v>Little: 180×10/60=30; dengan pendamping ×2</x:v>
      </x:c>
      <x:c r="F30" s="9" t="str">
        <x:v>Rata-rata bukan puncak; perlu batas area dan waktu tinggal yang konsisten.</x:v>
      </x:c>
      <x:c r="G30" s="9" t="str">
        <x:v>S2 terbaru</x:v>
      </x:c>
      <x:c r="H30" s="2"/>
    </x:row>
    <x:row r="31" ht="115" customHeight="1">
      <x:c r="A31" s="9" t="str">
        <x:v>A26</x:v>
      </x:c>
      <x:c r="B31" s="9" t="str">
        <x:v>Record versus orang pada tiga jenis party</x:v>
      </x:c>
      <x:c r="C31" s="9" t="str">
        <x:v>Junior+escort: 1 record/2 orang; junior+observer terdaftar: 2/2; dua junior+escort: 2/3</x:v>
      </x:c>
      <x:c r="D31" s="9" t="str">
        <x:v>Hitungan unit benar</x:v>
      </x:c>
      <x:c r="E31" s="9" t="str">
        <x:v>Hitung record terdaftar dan semua orang secara terpisah</x:v>
      </x:c>
      <x:c r="F31" s="9" t="str">
        <x:v>Bukan kebijakan izin masuk. Parent terdaftar yang juga mendampingi tidak dihitung dua kali.</x:v>
      </x:c>
      <x:c r="G31" s="9" t="str">
        <x:v>S2 terbaru</x:v>
      </x:c>
      <x:c r="H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</x:row>
  </x:sheetData>
  <x:pageMargins left="0.7" right="0.7" top="0.75" bottom="0.75" header="0.3" footer="0.3"/>
</x:worksheet>
</file>